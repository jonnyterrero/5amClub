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err\Documents\"/>
    </mc:Choice>
  </mc:AlternateContent>
  <xr:revisionPtr revIDLastSave="0" documentId="8_{17119455-F43B-494D-B87C-CA5B293D97B1}" xr6:coauthVersionLast="47" xr6:coauthVersionMax="47" xr10:uidLastSave="{00000000-0000-0000-0000-000000000000}"/>
  <bookViews>
    <workbookView xWindow="-108" yWindow="-108" windowWidth="23256" windowHeight="12456" activeTab="2" xr2:uid="{3DF18221-BA1D-402B-99D8-70C423B7938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B16" i="3"/>
</calcChain>
</file>

<file path=xl/sharedStrings.xml><?xml version="1.0" encoding="utf-8"?>
<sst xmlns="http://schemas.openxmlformats.org/spreadsheetml/2006/main" count="21" uniqueCount="20">
  <si>
    <t>Data Table 1</t>
  </si>
  <si>
    <t>Concentration (M) of [Fe(H20)s(Scn)]2+</t>
  </si>
  <si>
    <t>2.0 x 10-5</t>
  </si>
  <si>
    <t>5.9 x10-5</t>
  </si>
  <si>
    <t>9.1 x 10-5</t>
  </si>
  <si>
    <t>1.3 x 10-4</t>
  </si>
  <si>
    <t>1.4 x 10-4</t>
  </si>
  <si>
    <t>Time:</t>
  </si>
  <si>
    <t>Temperature:</t>
  </si>
  <si>
    <t>Group Number</t>
  </si>
  <si>
    <t>Molarity NaOh, mol/L</t>
  </si>
  <si>
    <t>mean</t>
  </si>
  <si>
    <t>From Excel</t>
  </si>
  <si>
    <t>Standard Deviation</t>
  </si>
  <si>
    <t>Confidence interval</t>
  </si>
  <si>
    <t>Accepted Value</t>
  </si>
  <si>
    <t>Absolute Error</t>
  </si>
  <si>
    <t>%Error</t>
  </si>
  <si>
    <t>accuracy mean</t>
  </si>
  <si>
    <t>Absolute 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</si>
</sst>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Dependence</a:t>
            </a:r>
            <a:r>
              <a:rPr lang="en-US" baseline="0"/>
              <a:t> of Absorbance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Sheet1!$A$3:$A$7</c:f>
              <c:strCache>
                <c:ptCount val="5"/>
                <c:pt idx="0">
                  <c:v>2.0 x 10-5</c:v>
                </c:pt>
                <c:pt idx="1">
                  <c:v>5.9 x10-5</c:v>
                </c:pt>
                <c:pt idx="2">
                  <c:v>9.1 x 10-5</c:v>
                </c:pt>
                <c:pt idx="3">
                  <c:v>1.3 x 10-4</c:v>
                </c:pt>
                <c:pt idx="4">
                  <c:v>1.4 x 10-4</c:v>
                </c:pt>
              </c:strCache>
            </c:strRef>
          </c:xVal>
          <c:yVal>
            <c:numRef>
              <c:f>Sheet1!$B$3:$B$7</c:f>
              <c:numCache>
                <c:formatCode>General</c:formatCode>
                <c:ptCount val="5"/>
                <c:pt idx="0">
                  <c:v>0.125</c:v>
                </c:pt>
                <c:pt idx="1">
                  <c:v>0.30499999999999999</c:v>
                </c:pt>
                <c:pt idx="2">
                  <c:v>0.46899999999999997</c:v>
                </c:pt>
                <c:pt idx="3">
                  <c:v>0.61899999999999999</c:v>
                </c:pt>
                <c:pt idx="4">
                  <c:v>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3-45D9-815A-3FA0AD0BA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854160"/>
        <c:axId val="913855824"/>
      </c:scatterChart>
      <c:valAx>
        <c:axId val="91385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855824"/>
        <c:crosses val="autoZero"/>
        <c:crossBetween val="midCat"/>
      </c:valAx>
      <c:valAx>
        <c:axId val="91385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85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</a:t>
            </a:r>
            <a:r>
              <a:rPr lang="en-US" baseline="0"/>
              <a:t> of Temperature of Solution with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Sheet2!$A$2:$A$21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Sheet2!$B$2:$B$21</c:f>
              <c:numCache>
                <c:formatCode>General</c:formatCode>
                <c:ptCount val="20"/>
                <c:pt idx="0">
                  <c:v>22</c:v>
                </c:pt>
                <c:pt idx="1">
                  <c:v>20.5</c:v>
                </c:pt>
                <c:pt idx="2">
                  <c:v>18.7</c:v>
                </c:pt>
                <c:pt idx="3">
                  <c:v>17.5</c:v>
                </c:pt>
                <c:pt idx="4">
                  <c:v>15.5</c:v>
                </c:pt>
                <c:pt idx="5">
                  <c:v>13.5</c:v>
                </c:pt>
                <c:pt idx="6">
                  <c:v>12.5</c:v>
                </c:pt>
                <c:pt idx="7">
                  <c:v>13.1</c:v>
                </c:pt>
                <c:pt idx="8">
                  <c:v>13.1</c:v>
                </c:pt>
                <c:pt idx="9">
                  <c:v>12.9</c:v>
                </c:pt>
                <c:pt idx="10">
                  <c:v>12.7</c:v>
                </c:pt>
                <c:pt idx="11">
                  <c:v>12.4</c:v>
                </c:pt>
                <c:pt idx="12">
                  <c:v>12.1</c:v>
                </c:pt>
                <c:pt idx="13">
                  <c:v>12</c:v>
                </c:pt>
                <c:pt idx="14">
                  <c:v>11.8</c:v>
                </c:pt>
                <c:pt idx="15">
                  <c:v>11.5</c:v>
                </c:pt>
                <c:pt idx="16">
                  <c:v>11.3</c:v>
                </c:pt>
                <c:pt idx="17">
                  <c:v>11</c:v>
                </c:pt>
                <c:pt idx="18">
                  <c:v>10.7</c:v>
                </c:pt>
                <c:pt idx="19">
                  <c:v>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1-4C90-9DD6-B2FE79E662A7}"/>
            </c:ext>
          </c:extLst>
        </c:ser>
        <c:ser>
          <c:idx val="1"/>
          <c:order val="1"/>
          <c:tx>
            <c:v>Series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Sheet2!$A$9:$A$21</c:f>
              <c:numCache>
                <c:formatCode>General</c:formatCode>
                <c:ptCount val="13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</c:numCache>
            </c:numRef>
          </c:xVal>
          <c:yVal>
            <c:numRef>
              <c:f>Sheet2!$B$9:$B$21</c:f>
              <c:numCache>
                <c:formatCode>General</c:formatCode>
                <c:ptCount val="13"/>
                <c:pt idx="0">
                  <c:v>13.1</c:v>
                </c:pt>
                <c:pt idx="1">
                  <c:v>13.1</c:v>
                </c:pt>
                <c:pt idx="2">
                  <c:v>12.9</c:v>
                </c:pt>
                <c:pt idx="3">
                  <c:v>12.7</c:v>
                </c:pt>
                <c:pt idx="4">
                  <c:v>12.4</c:v>
                </c:pt>
                <c:pt idx="5">
                  <c:v>12.1</c:v>
                </c:pt>
                <c:pt idx="6">
                  <c:v>12</c:v>
                </c:pt>
                <c:pt idx="7">
                  <c:v>11.8</c:v>
                </c:pt>
                <c:pt idx="8">
                  <c:v>11.5</c:v>
                </c:pt>
                <c:pt idx="9">
                  <c:v>11.3</c:v>
                </c:pt>
                <c:pt idx="10">
                  <c:v>11</c:v>
                </c:pt>
                <c:pt idx="11">
                  <c:v>10.7</c:v>
                </c:pt>
                <c:pt idx="12">
                  <c:v>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B1-4C90-9DD6-B2FE79E66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856240"/>
        <c:axId val="994006496"/>
      </c:scatterChart>
      <c:valAx>
        <c:axId val="91385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006496"/>
        <c:crosses val="autoZero"/>
        <c:crossBetween val="midCat"/>
      </c:valAx>
      <c:valAx>
        <c:axId val="99400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85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441960</xdr:colOff>
      <xdr:row>1</xdr:row>
      <xdr:rowOff>60960</xdr:rowOff>
    </xdr:from>
    <xdr:to>
      <xdr:col>12</xdr:col>
      <xdr:colOff>137160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84506A-C10D-98CA-00A6-861797328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22860</xdr:rowOff>
    </xdr:from>
    <xdr:to>
      <xdr:col>10</xdr:col>
      <xdr:colOff>297180</xdr:colOff>
      <xdr:row>16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30E1D9-12BC-8DC8-6BAE-AD4CA7305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7D54-4F68-41C3-93D3-C0D596C3AEEF}">
  <dimension ref="A1:D7"/>
  <sheetViews>
    <sheetView workbookViewId="0">
      <selection activeCell="P10" sqref="P10"/>
    </sheetView>
  </sheetViews>
  <sheetFormatPr defaultRowHeight="14.4" x14ac:dyDescent="0.3"/>
  <cols>
    <col min="1" max="1" width="12.88671875" customWidth="1"/>
    <col min="2" max="2" width="13.44140625" customWidth="1"/>
  </cols>
  <sheetData>
    <row r="1" spans="1:4" x14ac:dyDescent="0.3">
      <c r="A1" s="2" t="s">
        <v>0</v>
      </c>
      <c r="B1" s="2"/>
    </row>
    <row r="2" spans="1:4" x14ac:dyDescent="0.3">
      <c r="A2" s="2" t="s">
        <v>1</v>
      </c>
      <c r="B2" s="1"/>
      <c r="C2" s="1"/>
      <c r="D2" s="1"/>
    </row>
    <row r="3" spans="1:4" x14ac:dyDescent="0.3">
      <c r="A3" s="3" t="s">
        <v>2</v>
      </c>
      <c r="B3">
        <v>0.125</v>
      </c>
    </row>
    <row r="4" spans="1:4" x14ac:dyDescent="0.3">
      <c r="A4" s="3" t="s">
        <v>3</v>
      </c>
      <c r="B4">
        <v>0.30499999999999999</v>
      </c>
    </row>
    <row r="5" spans="1:4" x14ac:dyDescent="0.3">
      <c r="A5" s="3" t="s">
        <v>4</v>
      </c>
      <c r="B5">
        <v>0.46899999999999997</v>
      </c>
    </row>
    <row r="6" spans="1:4" x14ac:dyDescent="0.3">
      <c r="A6" s="3" t="s">
        <v>5</v>
      </c>
      <c r="B6">
        <v>0.61899999999999999</v>
      </c>
    </row>
    <row r="7" spans="1:4" x14ac:dyDescent="0.3">
      <c r="A7" s="3" t="s">
        <v>6</v>
      </c>
      <c r="B7">
        <v>0.76</v>
      </c>
    </row>
  </sheetData>
  <mergeCells count="2">
    <mergeCell ref="A1:B1"/>
    <mergeCell ref="A2:D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4D21B-4D2A-4F6B-B9C1-ECF789480522}">
  <dimension ref="A1:B21"/>
  <sheetViews>
    <sheetView workbookViewId="0">
      <selection activeCell="A2" sqref="A2:B8"/>
    </sheetView>
  </sheetViews>
  <sheetFormatPr defaultRowHeight="14.4" x14ac:dyDescent="0.3"/>
  <cols>
    <col min="1" max="1" width="17.109375" customWidth="1"/>
    <col min="2" max="2" width="20.6640625" customWidth="1"/>
  </cols>
  <sheetData>
    <row r="1" spans="1:2" x14ac:dyDescent="0.3">
      <c r="A1" t="s">
        <v>7</v>
      </c>
      <c r="B1" t="s">
        <v>8</v>
      </c>
    </row>
    <row r="2" spans="1:2" x14ac:dyDescent="0.3">
      <c r="A2">
        <v>10</v>
      </c>
      <c r="B2">
        <v>22</v>
      </c>
    </row>
    <row r="3" spans="1:2" x14ac:dyDescent="0.3">
      <c r="A3">
        <v>20</v>
      </c>
      <c r="B3">
        <v>20.5</v>
      </c>
    </row>
    <row r="4" spans="1:2" x14ac:dyDescent="0.3">
      <c r="A4">
        <v>30</v>
      </c>
      <c r="B4">
        <v>18.7</v>
      </c>
    </row>
    <row r="5" spans="1:2" x14ac:dyDescent="0.3">
      <c r="A5">
        <v>40</v>
      </c>
      <c r="B5">
        <v>17.5</v>
      </c>
    </row>
    <row r="6" spans="1:2" x14ac:dyDescent="0.3">
      <c r="A6">
        <v>50</v>
      </c>
      <c r="B6">
        <v>15.5</v>
      </c>
    </row>
    <row r="7" spans="1:2" x14ac:dyDescent="0.3">
      <c r="A7">
        <v>60</v>
      </c>
      <c r="B7">
        <v>13.5</v>
      </c>
    </row>
    <row r="8" spans="1:2" x14ac:dyDescent="0.3">
      <c r="A8">
        <v>70</v>
      </c>
      <c r="B8">
        <v>12.5</v>
      </c>
    </row>
    <row r="9" spans="1:2" x14ac:dyDescent="0.3">
      <c r="A9">
        <v>80</v>
      </c>
      <c r="B9">
        <v>13.1</v>
      </c>
    </row>
    <row r="10" spans="1:2" x14ac:dyDescent="0.3">
      <c r="A10">
        <v>90</v>
      </c>
      <c r="B10">
        <v>13.1</v>
      </c>
    </row>
    <row r="11" spans="1:2" x14ac:dyDescent="0.3">
      <c r="A11">
        <v>100</v>
      </c>
      <c r="B11">
        <v>12.9</v>
      </c>
    </row>
    <row r="12" spans="1:2" x14ac:dyDescent="0.3">
      <c r="A12">
        <v>110</v>
      </c>
      <c r="B12">
        <v>12.7</v>
      </c>
    </row>
    <row r="13" spans="1:2" x14ac:dyDescent="0.3">
      <c r="A13">
        <v>120</v>
      </c>
      <c r="B13">
        <v>12.4</v>
      </c>
    </row>
    <row r="14" spans="1:2" x14ac:dyDescent="0.3">
      <c r="A14">
        <v>130</v>
      </c>
      <c r="B14">
        <v>12.1</v>
      </c>
    </row>
    <row r="15" spans="1:2" x14ac:dyDescent="0.3">
      <c r="A15">
        <v>140</v>
      </c>
      <c r="B15">
        <v>12</v>
      </c>
    </row>
    <row r="16" spans="1:2" x14ac:dyDescent="0.3">
      <c r="A16">
        <v>150</v>
      </c>
      <c r="B16">
        <v>11.8</v>
      </c>
    </row>
    <row r="17" spans="1:2" x14ac:dyDescent="0.3">
      <c r="A17">
        <v>160</v>
      </c>
      <c r="B17">
        <v>11.5</v>
      </c>
    </row>
    <row r="18" spans="1:2" x14ac:dyDescent="0.3">
      <c r="A18">
        <v>170</v>
      </c>
      <c r="B18">
        <v>11.3</v>
      </c>
    </row>
    <row r="19" spans="1:2" x14ac:dyDescent="0.3">
      <c r="A19">
        <v>180</v>
      </c>
      <c r="B19">
        <v>11</v>
      </c>
    </row>
    <row r="20" spans="1:2" x14ac:dyDescent="0.3">
      <c r="A20">
        <v>190</v>
      </c>
      <c r="B20">
        <v>10.7</v>
      </c>
    </row>
    <row r="21" spans="1:2" x14ac:dyDescent="0.3">
      <c r="A21">
        <v>200</v>
      </c>
      <c r="B21">
        <v>10.5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FFA9-C39D-4777-95F8-4825416EA9AB}">
  <dimension ref="A1:B24"/>
  <sheetViews>
    <sheetView tabSelected="1" workbookViewId="0">
      <selection activeCell="B18" sqref="B18"/>
    </sheetView>
  </sheetViews>
  <sheetFormatPr defaultRowHeight="14.4" x14ac:dyDescent="0.3"/>
  <cols>
    <col min="1" max="1" width="25" customWidth="1"/>
    <col min="2" max="2" width="34.6640625" customWidth="1"/>
  </cols>
  <sheetData>
    <row r="1" spans="1:2" x14ac:dyDescent="0.3">
      <c r="A1" t="s">
        <v>9</v>
      </c>
      <c r="B1" t="s">
        <v>10</v>
      </c>
    </row>
    <row r="2" spans="1:2" x14ac:dyDescent="0.3">
      <c r="A2">
        <v>1</v>
      </c>
      <c r="B2">
        <v>1.0309999999999999</v>
      </c>
    </row>
    <row r="3" spans="1:2" x14ac:dyDescent="0.3">
      <c r="A3">
        <v>2</v>
      </c>
      <c r="B3">
        <v>0.998</v>
      </c>
    </row>
    <row r="4" spans="1:2" x14ac:dyDescent="0.3">
      <c r="A4">
        <v>3</v>
      </c>
      <c r="B4">
        <v>0.998</v>
      </c>
    </row>
    <row r="5" spans="1:2" x14ac:dyDescent="0.3">
      <c r="A5">
        <v>4</v>
      </c>
      <c r="B5">
        <v>0.97589999999999999</v>
      </c>
    </row>
    <row r="6" spans="1:2" x14ac:dyDescent="0.3">
      <c r="A6">
        <v>5</v>
      </c>
      <c r="B6">
        <v>1.0049999999999999</v>
      </c>
    </row>
    <row r="7" spans="1:2" x14ac:dyDescent="0.3">
      <c r="A7">
        <v>6</v>
      </c>
      <c r="B7">
        <v>0.98499999999999999</v>
      </c>
    </row>
    <row r="8" spans="1:2" x14ac:dyDescent="0.3">
      <c r="A8">
        <v>7</v>
      </c>
      <c r="B8">
        <v>0.99199999999999999</v>
      </c>
    </row>
    <row r="9" spans="1:2" x14ac:dyDescent="0.3">
      <c r="A9">
        <v>8</v>
      </c>
      <c r="B9">
        <v>0.99850000000000005</v>
      </c>
    </row>
    <row r="10" spans="1:2" x14ac:dyDescent="0.3">
      <c r="A10">
        <v>9</v>
      </c>
      <c r="B10">
        <v>1.0149999999999999</v>
      </c>
    </row>
    <row r="11" spans="1:2" x14ac:dyDescent="0.3">
      <c r="A11">
        <v>10</v>
      </c>
      <c r="B11">
        <v>0.997</v>
      </c>
    </row>
    <row r="12" spans="1:2" x14ac:dyDescent="0.3">
      <c r="A12">
        <v>11</v>
      </c>
      <c r="B12">
        <v>0.99</v>
      </c>
    </row>
    <row r="13" spans="1:2" x14ac:dyDescent="0.3">
      <c r="A13">
        <v>12</v>
      </c>
      <c r="B13">
        <v>0.99399999999999999</v>
      </c>
    </row>
    <row r="15" spans="1:2" x14ac:dyDescent="0.3">
      <c r="B15" t="s">
        <v>12</v>
      </c>
    </row>
    <row r="16" spans="1:2" x14ac:dyDescent="0.3">
      <c r="A16" t="s">
        <v>11</v>
      </c>
      <c r="B16">
        <f>AVERAGE(B2:B13)</f>
        <v>0.9982833333333333</v>
      </c>
    </row>
    <row r="17" spans="1:2" x14ac:dyDescent="0.3">
      <c r="A17" t="s">
        <v>13</v>
      </c>
      <c r="B17">
        <f>CONFIDENCE(0.05,0.01354,12)</f>
        <v>7.6608354196956814E-3</v>
      </c>
    </row>
    <row r="18" spans="1:2" x14ac:dyDescent="0.3">
      <c r="A18" t="s">
        <v>14</v>
      </c>
    </row>
    <row r="19" spans="1:2" x14ac:dyDescent="0.3">
      <c r="A19" t="s">
        <v>15</v>
      </c>
    </row>
    <row r="20" spans="1:2" x14ac:dyDescent="0.3">
      <c r="A20" t="s">
        <v>16</v>
      </c>
    </row>
    <row r="21" spans="1:2" x14ac:dyDescent="0.3">
      <c r="A21" t="s">
        <v>17</v>
      </c>
    </row>
    <row r="22" spans="1:2" x14ac:dyDescent="0.3">
      <c r="A22" t="s">
        <v>18</v>
      </c>
    </row>
    <row r="23" spans="1:2" x14ac:dyDescent="0.3">
      <c r="A23" t="s">
        <v>19</v>
      </c>
    </row>
    <row r="24" spans="1:2" x14ac:dyDescent="0.3">
      <c r="A2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Terrero</dc:creator>
  <cp:lastModifiedBy>Jonathan Terrero</cp:lastModifiedBy>
  <dcterms:created xsi:type="dcterms:W3CDTF">2023-01-31T02:18:42Z</dcterms:created>
  <dcterms:modified xsi:type="dcterms:W3CDTF">2023-01-31T03:04:07Z</dcterms:modified>
</cp:coreProperties>
</file>