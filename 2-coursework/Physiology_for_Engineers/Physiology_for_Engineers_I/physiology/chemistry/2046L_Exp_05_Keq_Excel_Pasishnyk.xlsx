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HM 2046 Lab\"/>
    </mc:Choice>
  </mc:AlternateContent>
  <bookViews>
    <workbookView xWindow="0" yWindow="0" windowWidth="23040" windowHeight="10632" activeTab="1"/>
  </bookViews>
  <sheets>
    <sheet name="Calibration Graph" sheetId="1" r:id="rId1"/>
    <sheet name="Equilibrium Calcula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2" l="1"/>
  <c r="D6" i="2"/>
  <c r="H6" i="2" s="1"/>
</calcChain>
</file>

<file path=xl/sharedStrings.xml><?xml version="1.0" encoding="utf-8"?>
<sst xmlns="http://schemas.openxmlformats.org/spreadsheetml/2006/main" count="38" uniqueCount="34">
  <si>
    <t>The Determination of Equilibrium Constant</t>
  </si>
  <si>
    <t>Data Table 1 Calibration Graph</t>
  </si>
  <si>
    <t>Test Tube</t>
  </si>
  <si>
    <t>S01</t>
  </si>
  <si>
    <t>S02</t>
  </si>
  <si>
    <t>S03</t>
  </si>
  <si>
    <t>S04</t>
  </si>
  <si>
    <t>S05</t>
  </si>
  <si>
    <t>S06</t>
  </si>
  <si>
    <t>S07</t>
  </si>
  <si>
    <t>Absorbance</t>
  </si>
  <si>
    <t>CHM 2046L</t>
  </si>
  <si>
    <t>Group Members:</t>
  </si>
  <si>
    <r>
      <t>[FeSCN</t>
    </r>
    <r>
      <rPr>
        <b/>
        <vertAlign val="superscript"/>
        <sz val="11"/>
        <color theme="1"/>
        <rFont val="Calibri"/>
        <family val="2"/>
        <scheme val="minor"/>
      </rPr>
      <t>2+</t>
    </r>
    <r>
      <rPr>
        <b/>
        <sz val="11"/>
        <color theme="1"/>
        <rFont val="Calibri"/>
        <family val="2"/>
        <scheme val="minor"/>
      </rPr>
      <t>]</t>
    </r>
  </si>
  <si>
    <t xml:space="preserve">Data Table 2 Equilibrium Calculations </t>
  </si>
  <si>
    <t>T 01</t>
  </si>
  <si>
    <t>T 02</t>
  </si>
  <si>
    <t>T 03</t>
  </si>
  <si>
    <t>T 04</t>
  </si>
  <si>
    <t>T 05</t>
  </si>
  <si>
    <t>T 06</t>
  </si>
  <si>
    <r>
      <t xml:space="preserve"> [FeSCN</t>
    </r>
    <r>
      <rPr>
        <b/>
        <vertAlign val="superscript"/>
        <sz val="11"/>
        <color theme="1"/>
        <rFont val="Calibri"/>
        <family val="2"/>
        <scheme val="minor"/>
      </rPr>
      <t>2+</t>
    </r>
    <r>
      <rPr>
        <b/>
        <sz val="11"/>
        <color theme="1"/>
        <rFont val="Calibri"/>
        <family val="2"/>
        <scheme val="minor"/>
      </rPr>
      <t xml:space="preserve">]eq </t>
    </r>
  </si>
  <si>
    <r>
      <t>[Fe</t>
    </r>
    <r>
      <rPr>
        <b/>
        <vertAlign val="superscript"/>
        <sz val="12"/>
        <color theme="1"/>
        <rFont val="Calibri"/>
        <family val="2"/>
        <scheme val="minor"/>
      </rPr>
      <t>3+</t>
    </r>
    <r>
      <rPr>
        <b/>
        <sz val="12"/>
        <color theme="1"/>
        <rFont val="Calibri"/>
        <family val="2"/>
        <scheme val="minor"/>
      </rPr>
      <t xml:space="preserve">]init      </t>
    </r>
  </si>
  <si>
    <r>
      <t>[SCN</t>
    </r>
    <r>
      <rPr>
        <b/>
        <vertAlign val="superscript"/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]init</t>
    </r>
  </si>
  <si>
    <r>
      <t>[Fe</t>
    </r>
    <r>
      <rPr>
        <b/>
        <vertAlign val="superscript"/>
        <sz val="12"/>
        <color theme="1"/>
        <rFont val="Calibri"/>
        <family val="2"/>
        <scheme val="minor"/>
      </rPr>
      <t>3+</t>
    </r>
    <r>
      <rPr>
        <b/>
        <sz val="12"/>
        <color theme="1"/>
        <rFont val="Calibri"/>
        <family val="2"/>
        <scheme val="minor"/>
      </rPr>
      <t xml:space="preserve">]eq      </t>
    </r>
  </si>
  <si>
    <r>
      <t>[SCN</t>
    </r>
    <r>
      <rPr>
        <b/>
        <vertAlign val="superscript"/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]eq</t>
    </r>
  </si>
  <si>
    <t>Keq</t>
  </si>
  <si>
    <t>Example Manual</t>
  </si>
  <si>
    <t>Use Equation Table 1</t>
  </si>
  <si>
    <t>AVERAGE</t>
  </si>
  <si>
    <t>CONFIDENCE T</t>
  </si>
  <si>
    <t>Absolute Error</t>
  </si>
  <si>
    <t>Accepted Value</t>
  </si>
  <si>
    <t>%Error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</si>
</sst>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>
      <selection activeCell="E1" sqref="E1:F2"/>
    </sheetView>
  </sheetViews>
  <sheetFormatPr defaultRowHeight="14.4" x14ac:dyDescent="0.3"/>
  <cols>
    <col min="2" max="2" width="11.5546875" customWidth="1"/>
    <col min="3" max="3" width="12.5546875" customWidth="1"/>
    <col min="4" max="5" width="8.6640625" customWidth="1"/>
    <col min="6" max="6" width="9.33203125" customWidth="1"/>
    <col min="7" max="7" width="10.88671875" customWidth="1"/>
    <col min="8" max="8" width="14.5546875" customWidth="1"/>
  </cols>
  <sheetData>
    <row r="1" spans="1:5" x14ac:dyDescent="0.3">
      <c r="E1" s="2" t="s">
        <v>11</v>
      </c>
    </row>
    <row r="2" spans="1:5" x14ac:dyDescent="0.3">
      <c r="E2" s="2" t="s">
        <v>12</v>
      </c>
    </row>
    <row r="5" spans="1:5" ht="18" x14ac:dyDescent="0.35">
      <c r="A5" s="1" t="s">
        <v>0</v>
      </c>
    </row>
    <row r="7" spans="1:5" ht="15.6" x14ac:dyDescent="0.3">
      <c r="A7" s="3" t="s">
        <v>1</v>
      </c>
    </row>
    <row r="8" spans="1:5" ht="16.2" x14ac:dyDescent="0.3">
      <c r="A8" s="2" t="s">
        <v>2</v>
      </c>
      <c r="B8" s="2" t="s">
        <v>13</v>
      </c>
      <c r="C8" s="4" t="s">
        <v>10</v>
      </c>
    </row>
    <row r="9" spans="1:5" x14ac:dyDescent="0.3">
      <c r="A9" t="s">
        <v>3</v>
      </c>
    </row>
    <row r="10" spans="1:5" x14ac:dyDescent="0.3">
      <c r="A10" t="s">
        <v>4</v>
      </c>
    </row>
    <row r="11" spans="1:5" x14ac:dyDescent="0.3">
      <c r="A11" t="s">
        <v>5</v>
      </c>
    </row>
    <row r="12" spans="1:5" x14ac:dyDescent="0.3">
      <c r="A12" t="s">
        <v>6</v>
      </c>
    </row>
    <row r="13" spans="1:5" x14ac:dyDescent="0.3">
      <c r="A13" t="s">
        <v>7</v>
      </c>
    </row>
    <row r="14" spans="1:5" x14ac:dyDescent="0.3">
      <c r="A14" t="s">
        <v>8</v>
      </c>
    </row>
    <row r="15" spans="1:5" x14ac:dyDescent="0.3">
      <c r="A15" t="s">
        <v>9</v>
      </c>
    </row>
    <row r="18" ht="24.9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6" sqref="D6"/>
    </sheetView>
  </sheetViews>
  <sheetFormatPr defaultRowHeight="14.4" x14ac:dyDescent="0.3"/>
  <cols>
    <col min="2" max="2" width="12" customWidth="1"/>
    <col min="3" max="3" width="9.88671875" customWidth="1"/>
    <col min="7" max="7" width="11.88671875" customWidth="1"/>
    <col min="8" max="8" width="11" customWidth="1"/>
  </cols>
  <sheetData>
    <row r="1" spans="1:8" x14ac:dyDescent="0.3">
      <c r="E1" s="2" t="s">
        <v>11</v>
      </c>
    </row>
    <row r="2" spans="1:8" x14ac:dyDescent="0.3">
      <c r="E2" s="2" t="s">
        <v>12</v>
      </c>
    </row>
    <row r="4" spans="1:8" ht="15.6" x14ac:dyDescent="0.3">
      <c r="A4" s="3" t="s">
        <v>14</v>
      </c>
    </row>
    <row r="5" spans="1:8" ht="45" x14ac:dyDescent="0.3">
      <c r="A5" s="2" t="s">
        <v>2</v>
      </c>
      <c r="B5" s="4" t="s">
        <v>10</v>
      </c>
      <c r="C5" s="4" t="s">
        <v>21</v>
      </c>
      <c r="D5" s="5" t="s">
        <v>24</v>
      </c>
      <c r="E5" s="3" t="s">
        <v>25</v>
      </c>
      <c r="F5" s="5" t="s">
        <v>22</v>
      </c>
      <c r="G5" s="3" t="s">
        <v>23</v>
      </c>
      <c r="H5" s="2" t="s">
        <v>26</v>
      </c>
    </row>
    <row r="6" spans="1:8" ht="43.2" x14ac:dyDescent="0.3">
      <c r="A6" s="4" t="s">
        <v>27</v>
      </c>
      <c r="B6" s="4" t="s">
        <v>28</v>
      </c>
      <c r="C6" s="6">
        <v>2.8900000000000001E-5</v>
      </c>
      <c r="D6">
        <f>F6-C6</f>
        <v>5.7109999999999995E-4</v>
      </c>
      <c r="E6">
        <f>G6-C6</f>
        <v>3.7110000000000002E-4</v>
      </c>
      <c r="F6" s="6">
        <v>5.9999999999999995E-4</v>
      </c>
      <c r="G6" s="6">
        <v>4.0000000000000002E-4</v>
      </c>
      <c r="H6" s="6">
        <f>C6/(D6*E6)</f>
        <v>136.36242887625895</v>
      </c>
    </row>
    <row r="7" spans="1:8" x14ac:dyDescent="0.3">
      <c r="A7" t="s">
        <v>15</v>
      </c>
    </row>
    <row r="8" spans="1:8" x14ac:dyDescent="0.3">
      <c r="A8" t="s">
        <v>16</v>
      </c>
    </row>
    <row r="9" spans="1:8" x14ac:dyDescent="0.3">
      <c r="A9" t="s">
        <v>17</v>
      </c>
    </row>
    <row r="10" spans="1:8" x14ac:dyDescent="0.3">
      <c r="A10" t="s">
        <v>18</v>
      </c>
    </row>
    <row r="11" spans="1:8" x14ac:dyDescent="0.3">
      <c r="A11" t="s">
        <v>19</v>
      </c>
    </row>
    <row r="12" spans="1:8" x14ac:dyDescent="0.3">
      <c r="A12" t="s">
        <v>20</v>
      </c>
    </row>
    <row r="14" spans="1:8" x14ac:dyDescent="0.3">
      <c r="G14" s="2" t="s">
        <v>29</v>
      </c>
    </row>
    <row r="15" spans="1:8" ht="28.8" x14ac:dyDescent="0.3">
      <c r="G15" s="4" t="s">
        <v>30</v>
      </c>
    </row>
    <row r="16" spans="1:8" ht="28.8" x14ac:dyDescent="0.3">
      <c r="G16" s="4" t="s">
        <v>32</v>
      </c>
      <c r="H16">
        <v>140</v>
      </c>
    </row>
    <row r="17" spans="7:7" ht="28.8" x14ac:dyDescent="0.3">
      <c r="G17" s="4" t="s">
        <v>31</v>
      </c>
    </row>
    <row r="18" spans="7:7" x14ac:dyDescent="0.3">
      <c r="G18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Graph</vt:lpstr>
      <vt:lpstr>Equilibrium 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Pasishnyk</dc:creator>
  <cp:lastModifiedBy>Lisa McGarity</cp:lastModifiedBy>
  <dcterms:created xsi:type="dcterms:W3CDTF">2019-05-26T22:03:28Z</dcterms:created>
  <dcterms:modified xsi:type="dcterms:W3CDTF">2020-02-16T19:49:38Z</dcterms:modified>
</cp:coreProperties>
</file>