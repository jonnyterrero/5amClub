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Documents/"/>
    </mc:Choice>
  </mc:AlternateContent>
  <xr:revisionPtr revIDLastSave="2" documentId="8_{4B6DAD31-A173-4A6B-9BC9-40BCF69F8227}" xr6:coauthVersionLast="47" xr6:coauthVersionMax="47" xr10:uidLastSave="{14A624A0-2FCC-4DA9-8B4E-358016617E77}"/>
  <bookViews>
    <workbookView xWindow="11424" yWindow="0" windowWidth="11712" windowHeight="12336" activeTab="1" xr2:uid="{2FEAC645-3F6C-4392-9410-806E5041E392}"/>
  </bookViews>
  <sheets>
    <sheet name="Data Collection" sheetId="2" r:id="rId1"/>
    <sheet name="Simulati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F5" i="1"/>
  <c r="F6" i="1"/>
  <c r="F7" i="1" s="1"/>
  <c r="F8" i="1" s="1"/>
  <c r="F9" i="1" s="1"/>
  <c r="F4" i="1"/>
  <c r="F3" i="1"/>
  <c r="D10" i="1"/>
  <c r="D9" i="1"/>
  <c r="D8" i="1"/>
  <c r="D7" i="1"/>
  <c r="D6" i="1"/>
  <c r="D5" i="1"/>
  <c r="D4" i="1"/>
  <c r="D3" i="1"/>
  <c r="B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<sst xmlns="http://schemas.openxmlformats.org/spreadsheetml/2006/main" count="119" uniqueCount="47">
  <si>
    <t>Color</t>
  </si>
  <si>
    <t>Count</t>
  </si>
  <si>
    <t>Blue</t>
  </si>
  <si>
    <t>Brown</t>
  </si>
  <si>
    <t>Green</t>
  </si>
  <si>
    <t>Orange</t>
  </si>
  <si>
    <t>Red</t>
  </si>
  <si>
    <t>Yellow</t>
  </si>
  <si>
    <t>Purple</t>
  </si>
  <si>
    <t>Relative Frequency</t>
  </si>
  <si>
    <t>Total</t>
  </si>
  <si>
    <t>Cummulative Probabilities</t>
  </si>
  <si>
    <t>Alphabetical List</t>
  </si>
  <si>
    <t>#of each color</t>
  </si>
  <si>
    <t>% of each color</t>
  </si>
  <si>
    <t>range for each color)</t>
  </si>
  <si>
    <t>Student</t>
  </si>
  <si>
    <t>TOTAL</t>
  </si>
  <si>
    <t>Katrina &amp; Sara</t>
  </si>
  <si>
    <t>Alyssa</t>
  </si>
  <si>
    <t>Saun-Jay</t>
  </si>
  <si>
    <t>Kevin Jacques</t>
  </si>
  <si>
    <t>Anna</t>
  </si>
  <si>
    <t>Maria M</t>
  </si>
  <si>
    <t>Alex</t>
  </si>
  <si>
    <t>Marium</t>
  </si>
  <si>
    <t>Miranda</t>
  </si>
  <si>
    <t>Jacob</t>
  </si>
  <si>
    <t>Wes</t>
  </si>
  <si>
    <t>Sophia Mitchell</t>
  </si>
  <si>
    <t>Jonathan Terrero</t>
  </si>
  <si>
    <t>Michael</t>
  </si>
  <si>
    <t>TOTAL per color</t>
  </si>
  <si>
    <t>random Selection</t>
  </si>
  <si>
    <t>=rand() for 20 selections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</si>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</sst>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4"/>
      <color rgb="FFB7B7B7"/>
      <name val="Calibri"/>
      <family val="2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3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0" fillId="0" borderId="0" xfId="0" quotePrefix="1"/>
    <xf numFmtId="0" fontId="8" fillId="0" borderId="0" xfId="0" applyFont="1" applyAlignment="1">
      <alignment horizontal="right" vertical="center"/>
    </xf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  <xf numFmtId="0" fontId="2" fillId="6" borderId="0" xfId="0" applyFont="1" applyFill="1"/>
    <xf numFmtId="0" fontId="2" fillId="14" borderId="0" xfId="0" applyFont="1" applyFill="1"/>
    <xf numFmtId="0" fontId="9" fillId="0" borderId="3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vs Standard Error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76720161248717E-2"/>
          <c:y val="0.10732738666291382"/>
          <c:w val="0.92108348321422917"/>
          <c:h val="0.75291984827115621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'Data Collection'!$P$7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Collection'!$Q$5:$Y$5</c:f>
              <c:strCache>
                <c:ptCount val="8"/>
                <c:pt idx="1">
                  <c:v>Green</c:v>
                </c:pt>
                <c:pt idx="3">
                  <c:v>Orange</c:v>
                </c:pt>
                <c:pt idx="5">
                  <c:v>Red</c:v>
                </c:pt>
                <c:pt idx="7">
                  <c:v>Yellow</c:v>
                </c:pt>
              </c:strCache>
            </c:strRef>
          </c:cat>
          <c:val>
            <c:numRef>
              <c:f>'Data Collection'!$Q$7:$Y$7</c:f>
              <c:numCache>
                <c:formatCode>General</c:formatCode>
                <c:ptCount val="9"/>
                <c:pt idx="0">
                  <c:v>19.285714285714285</c:v>
                </c:pt>
                <c:pt idx="1">
                  <c:v>0</c:v>
                </c:pt>
                <c:pt idx="2">
                  <c:v>20.642857142857142</c:v>
                </c:pt>
                <c:pt idx="3">
                  <c:v>0</c:v>
                </c:pt>
                <c:pt idx="4">
                  <c:v>18.5</c:v>
                </c:pt>
                <c:pt idx="5">
                  <c:v>0</c:v>
                </c:pt>
                <c:pt idx="6">
                  <c:v>17.857142857142858</c:v>
                </c:pt>
                <c:pt idx="7">
                  <c:v>0</c:v>
                </c:pt>
                <c:pt idx="8">
                  <c:v>20.071428571428573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1-45F2-B555-1DAA704953D3}"/>
            </c:ext>
          </c:extLst>
        </c:ser>
        <c:ser>
          <c:idx val="2"/>
          <c:order val="2"/>
          <c:tx>
            <c:strRef>
              <c:f>'Data Collection'!$P$8</c:f>
              <c:strCache>
                <c:ptCount val="1"/>
                <c:pt idx="0">
                  <c:v>Standard Error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Collection'!$Q$5:$Y$5</c:f>
              <c:strCache>
                <c:ptCount val="8"/>
                <c:pt idx="1">
                  <c:v>Green</c:v>
                </c:pt>
                <c:pt idx="3">
                  <c:v>Orange</c:v>
                </c:pt>
                <c:pt idx="5">
                  <c:v>Red</c:v>
                </c:pt>
                <c:pt idx="7">
                  <c:v>Yellow</c:v>
                </c:pt>
              </c:strCache>
            </c:strRef>
          </c:cat>
          <c:val>
            <c:numRef>
              <c:f>'Data Collection'!$Q$8:$Y$8</c:f>
              <c:numCache>
                <c:formatCode>General</c:formatCode>
                <c:ptCount val="9"/>
                <c:pt idx="0">
                  <c:v>2.0419463119713295</c:v>
                </c:pt>
                <c:pt idx="1">
                  <c:v>0</c:v>
                </c:pt>
                <c:pt idx="2">
                  <c:v>1.6825123249785912</c:v>
                </c:pt>
                <c:pt idx="3">
                  <c:v>0</c:v>
                </c:pt>
                <c:pt idx="4">
                  <c:v>1.5254255396193803</c:v>
                </c:pt>
                <c:pt idx="5">
                  <c:v>0</c:v>
                </c:pt>
                <c:pt idx="6">
                  <c:v>1.455784758185908</c:v>
                </c:pt>
                <c:pt idx="7">
                  <c:v>0</c:v>
                </c:pt>
                <c:pt idx="8">
                  <c:v>1.7335230142159426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71-45F2-B555-1DAA70495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79886704"/>
        <c:axId val="13798919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Collection'!$P$6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'Data Collection'!$Q$5:$Y$5</c15:sqref>
                        </c15:formulaRef>
                      </c:ext>
                    </c:extLst>
                    <c:strCache>
                      <c:ptCount val="8"/>
                      <c:pt idx="1">
                        <c:v>Green</c:v>
                      </c:pt>
                      <c:pt idx="3">
                        <c:v>Orange</c:v>
                      </c:pt>
                      <c:pt idx="5">
                        <c:v>Red</c:v>
                      </c:pt>
                      <c:pt idx="7">
                        <c:v>Yellow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 Collection'!$Q$6:$Y$6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171-45F2-B555-1DAA704953D3}"/>
                  </c:ext>
                </c:extLst>
              </c15:ser>
            </c15:filteredBarSeries>
          </c:ext>
        </c:extLst>
      </c:barChart>
      <c:catAx>
        <c:axId val="1379886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91984"/>
        <c:crosses val="autoZero"/>
        <c:auto val="1"/>
        <c:lblAlgn val="ctr"/>
        <c:lblOffset val="100"/>
        <c:noMultiLvlLbl val="0"/>
      </c:catAx>
      <c:valAx>
        <c:axId val="137989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</a:t>
            </a:r>
            <a:r>
              <a:rPr lang="en-US" baseline="0"/>
              <a:t> vs Standard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'Data Collection'!$P$5:$X$8</c:f>
              <c:multiLvlStrCache>
                <c:ptCount val="4"/>
                <c:lvl>
                  <c:pt idx="0">
                    <c:v>Yellow</c:v>
                  </c:pt>
                  <c:pt idx="2">
                    <c:v>Mean</c:v>
                  </c:pt>
                  <c:pt idx="3">
                    <c:v>Standard Error</c:v>
                  </c:pt>
                </c:lvl>
                <c:lvl>
                  <c:pt idx="2">
                    <c:v>17.85714286</c:v>
                  </c:pt>
                  <c:pt idx="3">
                    <c:v>1.455784758</c:v>
                  </c:pt>
                </c:lvl>
                <c:lvl>
                  <c:pt idx="0">
                    <c:v>Red</c:v>
                  </c:pt>
                  <c:pt idx="2">
                    <c:v>Mean</c:v>
                  </c:pt>
                  <c:pt idx="3">
                    <c:v>Standard Error</c:v>
                  </c:pt>
                </c:lvl>
                <c:lvl>
                  <c:pt idx="2">
                    <c:v>18.5</c:v>
                  </c:pt>
                  <c:pt idx="3">
                    <c:v>1.52542554</c:v>
                  </c:pt>
                </c:lvl>
                <c:lvl>
                  <c:pt idx="0">
                    <c:v>Orange</c:v>
                  </c:pt>
                  <c:pt idx="2">
                    <c:v>Mean</c:v>
                  </c:pt>
                  <c:pt idx="3">
                    <c:v>Standard Error</c:v>
                  </c:pt>
                </c:lvl>
                <c:lvl>
                  <c:pt idx="2">
                    <c:v>20.64285714</c:v>
                  </c:pt>
                  <c:pt idx="3">
                    <c:v>1.682512325</c:v>
                  </c:pt>
                </c:lvl>
                <c:lvl>
                  <c:pt idx="0">
                    <c:v>Green</c:v>
                  </c:pt>
                  <c:pt idx="2">
                    <c:v>Mean</c:v>
                  </c:pt>
                  <c:pt idx="3">
                    <c:v>Standard Error</c:v>
                  </c:pt>
                </c:lvl>
                <c:lvl>
                  <c:pt idx="2">
                    <c:v>19.28571429</c:v>
                  </c:pt>
                  <c:pt idx="3">
                    <c:v>2.041946312</c:v>
                  </c:pt>
                </c:lvl>
                <c:lvl>
                  <c:pt idx="0">
                    <c:v>Purple</c:v>
                  </c:pt>
                  <c:pt idx="2">
                    <c:v>Mean</c:v>
                  </c:pt>
                  <c:pt idx="3">
                    <c:v>Standard Error</c:v>
                  </c:pt>
                </c:lvl>
              </c:multiLvlStrCache>
            </c:multiLvlStrRef>
          </c:cat>
          <c:val>
            <c:numRef>
              <c:f>'Data Collection'!$Y$5:$Y$8</c:f>
              <c:numCache>
                <c:formatCode>General</c:formatCode>
                <c:ptCount val="4"/>
                <c:pt idx="2">
                  <c:v>20.071428571428573</c:v>
                </c:pt>
                <c:pt idx="3">
                  <c:v>1.7335230142159426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E-41E7-9E19-BF8D65015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496956</xdr:colOff>
      <xdr:row>20</xdr:row>
      <xdr:rowOff>80617</xdr:rowOff>
    </xdr:from>
    <xdr:to>
      <xdr:col>20</xdr:col>
      <xdr:colOff>22086</xdr:colOff>
      <xdr:row>43</xdr:row>
      <xdr:rowOff>33130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B4CD3-1860-2935-4473-FB4F567FA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507999</xdr:colOff>
      <xdr:row>20</xdr:row>
      <xdr:rowOff>55218</xdr:rowOff>
    </xdr:from>
    <xdr:to>
      <xdr:col>27</xdr:col>
      <xdr:colOff>11044</xdr:colOff>
      <xdr:row>43</xdr:row>
      <xdr:rowOff>11044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1E7100-E141-A539-C3EF-8D01C2727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972ED-7ADA-4841-9419-E4AA790ABA4C}">
  <dimension ref="A1:Y19"/>
  <sheetViews>
    <sheetView topLeftCell="D7" zoomScale="69" workbookViewId="0">
      <selection activeCell="M26" sqref="M26"/>
    </sheetView>
  </sheetViews>
  <sheetFormatPr defaultRowHeight="14.4" x14ac:dyDescent="0.3"/>
  <cols>
    <col min="1" max="1" width="15.21875" customWidth="1"/>
    <col min="16" max="16" width="13.21875" customWidth="1"/>
    <col min="18" max="18" width="17.44140625" customWidth="1"/>
    <col min="19" max="19" width="12.21875" customWidth="1"/>
    <col min="20" max="20" width="19.5546875" customWidth="1"/>
    <col min="22" max="22" width="22.44140625" customWidth="1"/>
    <col min="24" max="24" width="19.88671875" customWidth="1"/>
  </cols>
  <sheetData>
    <row r="1" spans="1:25" ht="36.6" thickBot="1" x14ac:dyDescent="0.4">
      <c r="A1" s="2" t="s">
        <v>16</v>
      </c>
      <c r="B1" s="3" t="s">
        <v>2</v>
      </c>
      <c r="C1" s="4" t="s">
        <v>8</v>
      </c>
      <c r="D1" s="5" t="s">
        <v>4</v>
      </c>
      <c r="E1" s="6" t="s">
        <v>5</v>
      </c>
      <c r="F1" s="7" t="s">
        <v>6</v>
      </c>
      <c r="G1" s="8" t="s">
        <v>7</v>
      </c>
      <c r="H1" s="9" t="s">
        <v>17</v>
      </c>
    </row>
    <row r="2" spans="1:25" ht="36.6" thickBot="1" x14ac:dyDescent="0.4">
      <c r="A2" s="10" t="s">
        <v>18</v>
      </c>
      <c r="B2" s="11"/>
      <c r="C2" s="12">
        <v>15</v>
      </c>
      <c r="D2" s="12">
        <v>23</v>
      </c>
      <c r="E2" s="12">
        <v>24</v>
      </c>
      <c r="F2" s="12">
        <v>23</v>
      </c>
      <c r="G2" s="12">
        <v>23</v>
      </c>
      <c r="H2" s="13">
        <v>108</v>
      </c>
    </row>
    <row r="3" spans="1:25" ht="18.600000000000001" thickBot="1" x14ac:dyDescent="0.4">
      <c r="A3" s="10" t="s">
        <v>19</v>
      </c>
      <c r="B3" s="11"/>
      <c r="C3" s="12">
        <v>21</v>
      </c>
      <c r="D3" s="12">
        <v>21</v>
      </c>
      <c r="E3" s="12">
        <v>18</v>
      </c>
      <c r="F3" s="12">
        <v>22</v>
      </c>
      <c r="G3" s="12">
        <v>27</v>
      </c>
      <c r="H3" s="13">
        <v>109</v>
      </c>
    </row>
    <row r="4" spans="1:25" ht="18.600000000000001" thickBot="1" x14ac:dyDescent="0.4">
      <c r="A4" s="10" t="s">
        <v>20</v>
      </c>
      <c r="B4" s="11"/>
      <c r="C4" s="12">
        <v>24</v>
      </c>
      <c r="D4" s="12">
        <v>25</v>
      </c>
      <c r="E4" s="12">
        <v>21</v>
      </c>
      <c r="F4" s="12">
        <v>19</v>
      </c>
      <c r="G4" s="12">
        <v>19</v>
      </c>
      <c r="H4" s="13">
        <v>108</v>
      </c>
    </row>
    <row r="5" spans="1:25" ht="36.6" thickBot="1" x14ac:dyDescent="0.4">
      <c r="A5" s="10" t="s">
        <v>21</v>
      </c>
      <c r="B5" s="11"/>
      <c r="C5" s="14">
        <v>23</v>
      </c>
      <c r="D5" s="12">
        <v>26</v>
      </c>
      <c r="E5" s="12">
        <v>21</v>
      </c>
      <c r="F5" s="14">
        <v>14</v>
      </c>
      <c r="G5" s="12">
        <v>24</v>
      </c>
      <c r="H5" s="13">
        <v>108</v>
      </c>
      <c r="P5" s="26" t="s">
        <v>8</v>
      </c>
      <c r="Q5" s="26"/>
      <c r="R5" s="26" t="s">
        <v>4</v>
      </c>
      <c r="S5" s="26"/>
      <c r="T5" s="26" t="s">
        <v>5</v>
      </c>
      <c r="U5" s="26"/>
      <c r="V5" s="26" t="s">
        <v>6</v>
      </c>
      <c r="W5" s="26"/>
      <c r="X5" s="26" t="s">
        <v>7</v>
      </c>
      <c r="Y5" s="26"/>
    </row>
    <row r="6" spans="1:25" ht="18.600000000000001" thickBot="1" x14ac:dyDescent="0.4">
      <c r="A6" s="10" t="s">
        <v>22</v>
      </c>
      <c r="B6" s="11"/>
      <c r="C6" s="12">
        <v>11</v>
      </c>
      <c r="D6" s="12">
        <v>19</v>
      </c>
      <c r="E6" s="12">
        <v>17</v>
      </c>
      <c r="F6" s="14">
        <v>17</v>
      </c>
      <c r="G6" s="12">
        <v>18</v>
      </c>
      <c r="H6" s="13">
        <v>82</v>
      </c>
      <c r="P6" s="27"/>
      <c r="Q6" s="27"/>
      <c r="R6" s="27"/>
      <c r="S6" s="27"/>
      <c r="T6" s="27"/>
      <c r="U6" s="27"/>
      <c r="V6" s="27"/>
      <c r="W6" s="27"/>
      <c r="X6" s="27"/>
      <c r="Y6" s="27"/>
    </row>
    <row r="7" spans="1:25" ht="18.600000000000001" thickBot="1" x14ac:dyDescent="0.4">
      <c r="A7" s="10" t="s">
        <v>23</v>
      </c>
      <c r="B7" s="11"/>
      <c r="C7" s="12">
        <v>17</v>
      </c>
      <c r="D7" s="12">
        <v>30</v>
      </c>
      <c r="E7" s="12">
        <v>21</v>
      </c>
      <c r="F7" s="12">
        <v>21</v>
      </c>
      <c r="G7" s="12">
        <v>22</v>
      </c>
      <c r="H7" s="13">
        <v>111</v>
      </c>
      <c r="P7" s="27" t="s">
        <v>35</v>
      </c>
      <c r="Q7" s="27">
        <v>19.285714285714285</v>
      </c>
      <c r="R7" s="27" t="s">
        <v>35</v>
      </c>
      <c r="S7" s="27">
        <v>20.642857142857142</v>
      </c>
      <c r="T7" s="27" t="s">
        <v>35</v>
      </c>
      <c r="U7" s="27">
        <v>18.5</v>
      </c>
      <c r="V7" s="27" t="s">
        <v>35</v>
      </c>
      <c r="W7" s="27">
        <v>17.857142857142858</v>
      </c>
      <c r="X7" s="27" t="s">
        <v>35</v>
      </c>
      <c r="Y7" s="27">
        <v>20.071428571428573</v>
      </c>
    </row>
    <row r="8" spans="1:25" ht="18.600000000000001" thickBot="1" x14ac:dyDescent="0.4">
      <c r="A8" s="10" t="s">
        <v>24</v>
      </c>
      <c r="B8" s="11"/>
      <c r="C8" s="12">
        <v>15</v>
      </c>
      <c r="D8" s="12">
        <v>19</v>
      </c>
      <c r="E8" s="12">
        <v>12</v>
      </c>
      <c r="F8" s="12">
        <v>10</v>
      </c>
      <c r="G8" s="12">
        <v>7</v>
      </c>
      <c r="H8" s="13">
        <v>63</v>
      </c>
      <c r="P8" s="27" t="s">
        <v>36</v>
      </c>
      <c r="Q8" s="27">
        <v>2.0419463119713295</v>
      </c>
      <c r="R8" s="27" t="s">
        <v>36</v>
      </c>
      <c r="S8" s="27">
        <v>1.6825123249785912</v>
      </c>
      <c r="T8" s="27" t="s">
        <v>36</v>
      </c>
      <c r="U8" s="27">
        <v>1.5254255396193803</v>
      </c>
      <c r="V8" s="27" t="s">
        <v>36</v>
      </c>
      <c r="W8" s="27">
        <v>1.455784758185908</v>
      </c>
      <c r="X8" s="27" t="s">
        <v>36</v>
      </c>
      <c r="Y8" s="27">
        <v>1.7335230142159426</v>
      </c>
    </row>
    <row r="9" spans="1:25" ht="18.600000000000001" thickBot="1" x14ac:dyDescent="0.4">
      <c r="A9" s="10" t="s">
        <v>25</v>
      </c>
      <c r="B9" s="11"/>
      <c r="C9" s="12">
        <v>31</v>
      </c>
      <c r="D9" s="12">
        <v>30</v>
      </c>
      <c r="E9" s="12">
        <v>11</v>
      </c>
      <c r="F9" s="12">
        <v>20</v>
      </c>
      <c r="G9" s="12">
        <v>15</v>
      </c>
      <c r="H9" s="13">
        <v>107</v>
      </c>
      <c r="P9" s="27" t="s">
        <v>37</v>
      </c>
      <c r="Q9" s="27">
        <v>19</v>
      </c>
      <c r="R9" s="27" t="s">
        <v>37</v>
      </c>
      <c r="S9" s="27">
        <v>20.5</v>
      </c>
      <c r="T9" s="27" t="s">
        <v>37</v>
      </c>
      <c r="U9" s="27">
        <v>19.5</v>
      </c>
      <c r="V9" s="27" t="s">
        <v>37</v>
      </c>
      <c r="W9" s="27">
        <v>19.5</v>
      </c>
      <c r="X9" s="27" t="s">
        <v>37</v>
      </c>
      <c r="Y9" s="27">
        <v>21</v>
      </c>
    </row>
    <row r="10" spans="1:25" ht="18.600000000000001" thickBot="1" x14ac:dyDescent="0.4">
      <c r="A10" s="10" t="s">
        <v>26</v>
      </c>
      <c r="B10" s="11"/>
      <c r="C10" s="12">
        <v>21</v>
      </c>
      <c r="D10" s="12">
        <v>20</v>
      </c>
      <c r="E10" s="12">
        <v>22</v>
      </c>
      <c r="F10" s="12">
        <v>23</v>
      </c>
      <c r="G10" s="12">
        <v>23</v>
      </c>
      <c r="H10" s="13">
        <v>109</v>
      </c>
      <c r="P10" s="27" t="s">
        <v>38</v>
      </c>
      <c r="Q10" s="27">
        <v>15</v>
      </c>
      <c r="R10" s="27" t="s">
        <v>38</v>
      </c>
      <c r="S10" s="27">
        <v>19</v>
      </c>
      <c r="T10" s="27" t="s">
        <v>38</v>
      </c>
      <c r="U10" s="27">
        <v>21</v>
      </c>
      <c r="V10" s="27" t="s">
        <v>38</v>
      </c>
      <c r="W10" s="27">
        <v>23</v>
      </c>
      <c r="X10" s="27" t="s">
        <v>38</v>
      </c>
      <c r="Y10" s="27">
        <v>23</v>
      </c>
    </row>
    <row r="11" spans="1:25" ht="18.600000000000001" thickBot="1" x14ac:dyDescent="0.4">
      <c r="A11" s="10" t="s">
        <v>27</v>
      </c>
      <c r="B11" s="11"/>
      <c r="C11" s="12">
        <v>25</v>
      </c>
      <c r="D11" s="12">
        <v>14</v>
      </c>
      <c r="E11" s="12">
        <v>23</v>
      </c>
      <c r="F11" s="12">
        <v>21</v>
      </c>
      <c r="G11" s="12">
        <v>20</v>
      </c>
      <c r="H11" s="13">
        <v>103</v>
      </c>
      <c r="P11" s="27" t="s">
        <v>39</v>
      </c>
      <c r="Q11" s="27">
        <v>7.6402635015833313</v>
      </c>
      <c r="R11" s="27" t="s">
        <v>39</v>
      </c>
      <c r="S11" s="27">
        <v>6.2953846690943438</v>
      </c>
      <c r="T11" s="27" t="s">
        <v>39</v>
      </c>
      <c r="U11" s="27">
        <v>5.7076197382904796</v>
      </c>
      <c r="V11" s="27" t="s">
        <v>39</v>
      </c>
      <c r="W11" s="27">
        <v>5.4470477940192188</v>
      </c>
      <c r="X11" s="27" t="s">
        <v>39</v>
      </c>
      <c r="Y11" s="27">
        <v>6.4862491912837097</v>
      </c>
    </row>
    <row r="12" spans="1:25" ht="18.600000000000001" thickBot="1" x14ac:dyDescent="0.4">
      <c r="A12" s="10" t="s">
        <v>28</v>
      </c>
      <c r="B12" s="11"/>
      <c r="C12" s="12">
        <v>34</v>
      </c>
      <c r="D12" s="12">
        <v>24</v>
      </c>
      <c r="E12" s="12">
        <v>10</v>
      </c>
      <c r="F12" s="12">
        <v>12</v>
      </c>
      <c r="G12" s="12">
        <v>30</v>
      </c>
      <c r="H12" s="13">
        <v>110</v>
      </c>
      <c r="P12" s="27" t="s">
        <v>40</v>
      </c>
      <c r="Q12" s="27">
        <v>58.373626373626394</v>
      </c>
      <c r="R12" s="27" t="s">
        <v>40</v>
      </c>
      <c r="S12" s="27">
        <v>39.631868131868103</v>
      </c>
      <c r="T12" s="27" t="s">
        <v>40</v>
      </c>
      <c r="U12" s="27">
        <v>32.57692307692308</v>
      </c>
      <c r="V12" s="27" t="s">
        <v>40</v>
      </c>
      <c r="W12" s="27">
        <v>29.67032967032964</v>
      </c>
      <c r="X12" s="27" t="s">
        <v>40</v>
      </c>
      <c r="Y12" s="27">
        <v>42.071428571428584</v>
      </c>
    </row>
    <row r="13" spans="1:25" ht="36.6" thickBot="1" x14ac:dyDescent="0.4">
      <c r="A13" s="10" t="s">
        <v>29</v>
      </c>
      <c r="B13" s="11"/>
      <c r="C13" s="12">
        <v>12</v>
      </c>
      <c r="D13" s="12">
        <v>14</v>
      </c>
      <c r="E13" s="12">
        <v>13</v>
      </c>
      <c r="F13" s="12">
        <v>24</v>
      </c>
      <c r="G13" s="12">
        <v>26</v>
      </c>
      <c r="H13" s="13">
        <v>89</v>
      </c>
      <c r="P13" s="27" t="s">
        <v>41</v>
      </c>
      <c r="Q13" s="27">
        <v>-0.48322141549151265</v>
      </c>
      <c r="R13" s="27" t="s">
        <v>41</v>
      </c>
      <c r="S13" s="27">
        <v>-0.21034015594928412</v>
      </c>
      <c r="T13" s="27" t="s">
        <v>41</v>
      </c>
      <c r="U13" s="27">
        <v>-0.35717345969378034</v>
      </c>
      <c r="V13" s="27" t="s">
        <v>41</v>
      </c>
      <c r="W13" s="27">
        <v>9.4778900112233888E-2</v>
      </c>
      <c r="X13" s="27" t="s">
        <v>41</v>
      </c>
      <c r="Y13" s="27">
        <v>0.20894102107404411</v>
      </c>
    </row>
    <row r="14" spans="1:25" ht="36.6" thickBot="1" x14ac:dyDescent="0.4">
      <c r="A14" s="10" t="s">
        <v>30</v>
      </c>
      <c r="B14" s="11"/>
      <c r="C14" s="12">
        <v>8</v>
      </c>
      <c r="D14" s="12">
        <v>8</v>
      </c>
      <c r="E14" s="12">
        <v>16</v>
      </c>
      <c r="F14" s="12">
        <v>6</v>
      </c>
      <c r="G14" s="12">
        <v>9</v>
      </c>
      <c r="H14" s="13">
        <v>47</v>
      </c>
      <c r="P14" s="27" t="s">
        <v>42</v>
      </c>
      <c r="Q14" s="27">
        <v>0.46990175038165588</v>
      </c>
      <c r="R14" s="27" t="s">
        <v>42</v>
      </c>
      <c r="S14" s="27">
        <v>-0.28428529542187048</v>
      </c>
      <c r="T14" s="27" t="s">
        <v>42</v>
      </c>
      <c r="U14" s="27">
        <v>0.17954829428365079</v>
      </c>
      <c r="V14" s="27" t="s">
        <v>42</v>
      </c>
      <c r="W14" s="27">
        <v>-0.97878367936028943</v>
      </c>
      <c r="X14" s="27" t="s">
        <v>42</v>
      </c>
      <c r="Y14" s="27">
        <v>-0.69134913473913207</v>
      </c>
    </row>
    <row r="15" spans="1:25" ht="18.600000000000001" thickBot="1" x14ac:dyDescent="0.4">
      <c r="A15" s="10" t="s">
        <v>31</v>
      </c>
      <c r="B15" s="11"/>
      <c r="C15" s="12">
        <v>13</v>
      </c>
      <c r="D15" s="12">
        <v>16</v>
      </c>
      <c r="E15" s="12">
        <v>30</v>
      </c>
      <c r="F15" s="12">
        <v>18</v>
      </c>
      <c r="G15" s="12">
        <v>18</v>
      </c>
      <c r="H15" s="13">
        <v>95</v>
      </c>
      <c r="P15" s="27" t="s">
        <v>43</v>
      </c>
      <c r="Q15" s="27">
        <v>26</v>
      </c>
      <c r="R15" s="27" t="s">
        <v>43</v>
      </c>
      <c r="S15" s="27">
        <v>22</v>
      </c>
      <c r="T15" s="27" t="s">
        <v>43</v>
      </c>
      <c r="U15" s="27">
        <v>20</v>
      </c>
      <c r="V15" s="27" t="s">
        <v>43</v>
      </c>
      <c r="W15" s="27">
        <v>18</v>
      </c>
      <c r="X15" s="27" t="s">
        <v>43</v>
      </c>
      <c r="Y15" s="27">
        <v>23</v>
      </c>
    </row>
    <row r="16" spans="1:25" ht="36.6" thickBot="1" x14ac:dyDescent="0.4">
      <c r="A16" s="15" t="s">
        <v>32</v>
      </c>
      <c r="B16" s="16">
        <v>0</v>
      </c>
      <c r="C16" s="16">
        <v>270</v>
      </c>
      <c r="D16" s="16">
        <v>289</v>
      </c>
      <c r="E16" s="16">
        <v>259</v>
      </c>
      <c r="F16" s="16">
        <v>250</v>
      </c>
      <c r="G16" s="16">
        <v>281</v>
      </c>
      <c r="H16" s="16">
        <v>1349</v>
      </c>
      <c r="P16" s="27" t="s">
        <v>44</v>
      </c>
      <c r="Q16" s="27">
        <v>8</v>
      </c>
      <c r="R16" s="27" t="s">
        <v>44</v>
      </c>
      <c r="S16" s="27">
        <v>8</v>
      </c>
      <c r="T16" s="27" t="s">
        <v>44</v>
      </c>
      <c r="U16" s="27">
        <v>10</v>
      </c>
      <c r="V16" s="27" t="s">
        <v>44</v>
      </c>
      <c r="W16" s="27">
        <v>6</v>
      </c>
      <c r="X16" s="27" t="s">
        <v>44</v>
      </c>
      <c r="Y16" s="27">
        <v>7</v>
      </c>
    </row>
    <row r="17" spans="16:25" x14ac:dyDescent="0.3">
      <c r="P17" s="27" t="s">
        <v>45</v>
      </c>
      <c r="Q17" s="27">
        <v>34</v>
      </c>
      <c r="R17" s="27" t="s">
        <v>45</v>
      </c>
      <c r="S17" s="27">
        <v>30</v>
      </c>
      <c r="T17" s="27" t="s">
        <v>45</v>
      </c>
      <c r="U17" s="27">
        <v>30</v>
      </c>
      <c r="V17" s="27" t="s">
        <v>45</v>
      </c>
      <c r="W17" s="27">
        <v>24</v>
      </c>
      <c r="X17" s="27" t="s">
        <v>45</v>
      </c>
      <c r="Y17" s="27">
        <v>30</v>
      </c>
    </row>
    <row r="18" spans="16:25" x14ac:dyDescent="0.3">
      <c r="P18" s="27" t="s">
        <v>46</v>
      </c>
      <c r="Q18" s="27">
        <v>270</v>
      </c>
      <c r="R18" s="27" t="s">
        <v>46</v>
      </c>
      <c r="S18" s="27">
        <v>289</v>
      </c>
      <c r="T18" s="27" t="s">
        <v>46</v>
      </c>
      <c r="U18" s="27">
        <v>259</v>
      </c>
      <c r="V18" s="27" t="s">
        <v>46</v>
      </c>
      <c r="W18" s="27">
        <v>250</v>
      </c>
      <c r="X18" s="27" t="s">
        <v>46</v>
      </c>
      <c r="Y18" s="27">
        <v>281</v>
      </c>
    </row>
    <row r="19" spans="16:25" ht="15" thickBot="1" x14ac:dyDescent="0.35">
      <c r="P19" s="28" t="s">
        <v>1</v>
      </c>
      <c r="Q19" s="28">
        <v>14</v>
      </c>
      <c r="R19" s="28" t="s">
        <v>1</v>
      </c>
      <c r="S19" s="28">
        <v>14</v>
      </c>
      <c r="T19" s="28" t="s">
        <v>1</v>
      </c>
      <c r="U19" s="28">
        <v>14</v>
      </c>
      <c r="V19" s="28" t="s">
        <v>1</v>
      </c>
      <c r="W19" s="28">
        <v>14</v>
      </c>
      <c r="X19" s="28" t="s">
        <v>1</v>
      </c>
      <c r="Y19" s="28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1713-7891-438A-AEBD-E946D0D6AC54}">
  <dimension ref="A1:K22"/>
  <sheetViews>
    <sheetView tabSelected="1" topLeftCell="E1" zoomScale="86" workbookViewId="0">
      <selection activeCell="F16" sqref="F16"/>
    </sheetView>
  </sheetViews>
  <sheetFormatPr defaultRowHeight="14.4" x14ac:dyDescent="0.3"/>
  <cols>
    <col min="1" max="1" width="14" customWidth="1"/>
    <col min="2" max="2" width="12.21875" customWidth="1"/>
    <col min="4" max="4" width="17" customWidth="1"/>
    <col min="6" max="6" width="23" customWidth="1"/>
    <col min="7" max="7" width="19.21875" customWidth="1"/>
    <col min="9" max="9" width="20.44140625" customWidth="1"/>
  </cols>
  <sheetData>
    <row r="1" spans="1:11" x14ac:dyDescent="0.3">
      <c r="A1" s="1" t="s">
        <v>0</v>
      </c>
      <c r="B1" s="1" t="s">
        <v>1</v>
      </c>
      <c r="C1" s="1"/>
      <c r="D1" s="1" t="s">
        <v>9</v>
      </c>
      <c r="E1" s="1"/>
      <c r="F1" s="1" t="s">
        <v>11</v>
      </c>
      <c r="G1" t="s">
        <v>15</v>
      </c>
      <c r="I1" t="s">
        <v>33</v>
      </c>
      <c r="K1" t="s">
        <v>0</v>
      </c>
    </row>
    <row r="2" spans="1:11" x14ac:dyDescent="0.3">
      <c r="A2" t="s">
        <v>12</v>
      </c>
      <c r="B2" t="s">
        <v>13</v>
      </c>
      <c r="D2" t="s">
        <v>14</v>
      </c>
      <c r="F2">
        <v>0</v>
      </c>
      <c r="I2" s="17" t="s">
        <v>34</v>
      </c>
    </row>
    <row r="3" spans="1:11" x14ac:dyDescent="0.3">
      <c r="A3" s="19" t="s">
        <v>2</v>
      </c>
      <c r="B3" s="1">
        <v>0</v>
      </c>
      <c r="D3">
        <f>(B3/B10)</f>
        <v>0</v>
      </c>
      <c r="F3">
        <f>(0+D3)</f>
        <v>0</v>
      </c>
      <c r="G3" t="s">
        <v>2</v>
      </c>
      <c r="H3">
        <v>1</v>
      </c>
      <c r="I3" s="18">
        <v>0.81592093200000004</v>
      </c>
      <c r="K3" t="str" cm="1">
        <f t="array" ref="K3:K22">_xlfn.IFS(I3:I22&lt;F3,"Blue",I3:I22&lt;F4,"Brown",I3:I22&lt;F5,"Green",I3:I22&lt;F6,"Orange",I3:I22&lt;F7,"Purple",I3:I22&lt;F8,"Red",I3:I22&lt;F9,"Yellow")</f>
        <v>Red</v>
      </c>
    </row>
    <row r="4" spans="1:11" x14ac:dyDescent="0.3">
      <c r="A4" s="20" t="s">
        <v>3</v>
      </c>
      <c r="B4" s="1">
        <v>0</v>
      </c>
      <c r="D4">
        <f>(B4/B10)</f>
        <v>0</v>
      </c>
      <c r="F4">
        <f>(F3+D4)</f>
        <v>0</v>
      </c>
      <c r="G4" t="s">
        <v>3</v>
      </c>
      <c r="H4">
        <v>2</v>
      </c>
      <c r="I4" s="18">
        <v>0.138882479</v>
      </c>
      <c r="K4" t="str">
        <v>Green</v>
      </c>
    </row>
    <row r="5" spans="1:11" x14ac:dyDescent="0.3">
      <c r="A5" s="21" t="s">
        <v>4</v>
      </c>
      <c r="B5" s="1">
        <v>8</v>
      </c>
      <c r="D5">
        <f>(B5/B10)</f>
        <v>0.17777777777777778</v>
      </c>
      <c r="F5">
        <f t="shared" ref="F5:F9" si="0">(F4+D5)</f>
        <v>0.17777777777777778</v>
      </c>
      <c r="G5" t="s">
        <v>4</v>
      </c>
      <c r="H5">
        <v>3</v>
      </c>
      <c r="I5" s="18">
        <v>0.537592811</v>
      </c>
      <c r="K5" t="str">
        <v>Purple</v>
      </c>
    </row>
    <row r="6" spans="1:11" x14ac:dyDescent="0.3">
      <c r="A6" s="22" t="s">
        <v>5</v>
      </c>
      <c r="B6" s="1">
        <v>16</v>
      </c>
      <c r="D6">
        <f>(B6/B10)</f>
        <v>0.35555555555555557</v>
      </c>
      <c r="F6">
        <f t="shared" si="0"/>
        <v>0.53333333333333333</v>
      </c>
      <c r="G6" t="s">
        <v>5</v>
      </c>
      <c r="H6">
        <v>4</v>
      </c>
      <c r="I6" s="18">
        <v>0.79921850699999997</v>
      </c>
      <c r="K6" t="str">
        <v>Red</v>
      </c>
    </row>
    <row r="7" spans="1:11" x14ac:dyDescent="0.3">
      <c r="A7" s="23" t="s">
        <v>8</v>
      </c>
      <c r="B7" s="1">
        <v>8</v>
      </c>
      <c r="D7">
        <f>(B7/B10)</f>
        <v>0.17777777777777778</v>
      </c>
      <c r="F7">
        <f t="shared" si="0"/>
        <v>0.71111111111111114</v>
      </c>
      <c r="G7" t="s">
        <v>8</v>
      </c>
      <c r="H7">
        <v>5</v>
      </c>
      <c r="I7" s="18">
        <v>0.34936154200000002</v>
      </c>
      <c r="K7" t="str">
        <v>Orange</v>
      </c>
    </row>
    <row r="8" spans="1:11" x14ac:dyDescent="0.3">
      <c r="A8" s="24" t="s">
        <v>6</v>
      </c>
      <c r="B8" s="1">
        <v>6</v>
      </c>
      <c r="D8">
        <f>(B8/B10)</f>
        <v>0.13333333333333333</v>
      </c>
      <c r="F8">
        <f t="shared" si="0"/>
        <v>0.84444444444444444</v>
      </c>
      <c r="G8" t="s">
        <v>6</v>
      </c>
      <c r="H8">
        <v>6</v>
      </c>
      <c r="I8" s="18">
        <v>0.77161503300000001</v>
      </c>
      <c r="K8" t="str">
        <v>Red</v>
      </c>
    </row>
    <row r="9" spans="1:11" x14ac:dyDescent="0.3">
      <c r="A9" s="25" t="s">
        <v>7</v>
      </c>
      <c r="B9" s="1">
        <v>7</v>
      </c>
      <c r="D9">
        <f>(B9/B10)</f>
        <v>0.15555555555555556</v>
      </c>
      <c r="F9">
        <f t="shared" si="0"/>
        <v>1</v>
      </c>
      <c r="G9" t="s">
        <v>7</v>
      </c>
      <c r="H9">
        <v>7</v>
      </c>
      <c r="I9" s="18">
        <v>0.79958586700000001</v>
      </c>
      <c r="K9" t="str">
        <v>Red</v>
      </c>
    </row>
    <row r="10" spans="1:11" x14ac:dyDescent="0.3">
      <c r="A10" s="1" t="s">
        <v>10</v>
      </c>
      <c r="B10" s="1">
        <f>SUM(B3:B9)</f>
        <v>45</v>
      </c>
      <c r="D10">
        <f>SUM(D3:D9)</f>
        <v>1</v>
      </c>
      <c r="H10">
        <v>8</v>
      </c>
      <c r="I10" s="18">
        <v>0.15162982899999999</v>
      </c>
      <c r="K10" t="str">
        <v>Green</v>
      </c>
    </row>
    <row r="11" spans="1:11" x14ac:dyDescent="0.3">
      <c r="H11">
        <v>9</v>
      </c>
      <c r="I11" s="18">
        <v>0.115139193</v>
      </c>
      <c r="K11" t="str">
        <v>Green</v>
      </c>
    </row>
    <row r="12" spans="1:11" x14ac:dyDescent="0.3">
      <c r="H12">
        <v>10</v>
      </c>
      <c r="I12" s="18">
        <v>0.54050894800000004</v>
      </c>
      <c r="K12" t="str">
        <v>Purple</v>
      </c>
    </row>
    <row r="13" spans="1:11" x14ac:dyDescent="0.3">
      <c r="H13">
        <v>11</v>
      </c>
      <c r="I13" s="18">
        <v>0.72104607099999996</v>
      </c>
      <c r="K13" t="str">
        <v>Red</v>
      </c>
    </row>
    <row r="14" spans="1:11" x14ac:dyDescent="0.3">
      <c r="H14">
        <v>12</v>
      </c>
      <c r="I14" s="18">
        <v>0.278855138</v>
      </c>
      <c r="K14" t="str">
        <v>Orange</v>
      </c>
    </row>
    <row r="15" spans="1:11" x14ac:dyDescent="0.3">
      <c r="H15">
        <v>13</v>
      </c>
      <c r="I15" s="18">
        <v>0.549296436</v>
      </c>
      <c r="K15" t="str">
        <v>Purple</v>
      </c>
    </row>
    <row r="16" spans="1:11" x14ac:dyDescent="0.3">
      <c r="H16">
        <v>14</v>
      </c>
      <c r="I16" s="18">
        <v>0.75467805700000001</v>
      </c>
      <c r="K16" t="str">
        <v>Red</v>
      </c>
    </row>
    <row r="17" spans="8:11" x14ac:dyDescent="0.3">
      <c r="H17">
        <v>15</v>
      </c>
      <c r="I17" s="18">
        <v>0.87183018800000001</v>
      </c>
      <c r="K17" t="str">
        <v>Yellow</v>
      </c>
    </row>
    <row r="18" spans="8:11" x14ac:dyDescent="0.3">
      <c r="H18">
        <v>16</v>
      </c>
      <c r="I18" s="18">
        <v>6.8215582999999996E-2</v>
      </c>
      <c r="K18" t="str">
        <v>Green</v>
      </c>
    </row>
    <row r="19" spans="8:11" x14ac:dyDescent="0.3">
      <c r="H19">
        <v>17</v>
      </c>
      <c r="I19" s="18">
        <v>0.50304541599999997</v>
      </c>
      <c r="K19" t="str">
        <v>Orange</v>
      </c>
    </row>
    <row r="20" spans="8:11" x14ac:dyDescent="0.3">
      <c r="H20">
        <v>18</v>
      </c>
      <c r="I20" s="18">
        <v>0.45533501100000001</v>
      </c>
      <c r="K20" t="str">
        <v>Orange</v>
      </c>
    </row>
    <row r="21" spans="8:11" x14ac:dyDescent="0.3">
      <c r="H21">
        <v>19</v>
      </c>
      <c r="I21" s="18">
        <v>0.20864582200000001</v>
      </c>
      <c r="K21" t="str">
        <v>Orange</v>
      </c>
    </row>
    <row r="22" spans="8:11" x14ac:dyDescent="0.3">
      <c r="H22">
        <v>20</v>
      </c>
      <c r="I22" s="18">
        <v>0.629619665</v>
      </c>
      <c r="K22" t="str">
        <v>Purple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Collection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2025-09-29T13:28:15Z</dcterms:created>
  <dcterms:modified xsi:type="dcterms:W3CDTF">2025-09-29T15:11:46Z</dcterms:modified>
</cp:coreProperties>
</file>