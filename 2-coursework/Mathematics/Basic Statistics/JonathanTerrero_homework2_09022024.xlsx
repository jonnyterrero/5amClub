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0" documentId="8_{293CA75C-B9D8-4D83-A58C-06DBEBE6827D}" xr6:coauthVersionLast="47" xr6:coauthVersionMax="47" xr10:uidLastSave="{00000000-0000-0000-0000-000000000000}"/>
  <bookViews>
    <workbookView xWindow="-120" yWindow="-120" windowWidth="38640" windowHeight="21240" firstSheet="1" activeTab="9" xr2:uid="{EF54D23D-44AD-4813-923D-A6347313294A}"/>
  </bookViews>
  <sheets>
    <sheet name="Problem 1" sheetId="1" r:id="rId1"/>
    <sheet name="Problem 11" sheetId="2" r:id="rId2"/>
    <sheet name="Problem 12" sheetId="3" r:id="rId3"/>
    <sheet name="Problem 13" sheetId="4" r:id="rId4"/>
    <sheet name="Problem 14" sheetId="5" r:id="rId5"/>
    <sheet name="ch.4 problem 1" sheetId="6" r:id="rId6"/>
    <sheet name="problem 6" sheetId="7" r:id="rId7"/>
    <sheet name="Problem 10" sheetId="8" r:id="rId8"/>
    <sheet name="ch.4 problem 11" sheetId="9" r:id="rId9"/>
    <sheet name="ch.4 problem 12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D203" i="10"/>
  <c r="D204" i="10"/>
  <c r="D205" i="10"/>
  <c r="D206" i="10"/>
  <c r="C203" i="10"/>
  <c r="C204" i="10"/>
  <c r="C205" i="10"/>
  <c r="C206" i="10"/>
  <c r="B203" i="10"/>
  <c r="B204" i="10"/>
  <c r="B205" i="10"/>
  <c r="B206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D202" i="10" s="1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" i="10"/>
  <c r="B29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1" i="8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1" i="6"/>
  <c r="A19" i="6"/>
  <c r="A16" i="6"/>
  <c r="A13" i="6"/>
  <c r="A10" i="6"/>
  <c r="A7" i="6"/>
  <c r="A4" i="6"/>
  <c r="A1" i="6"/>
  <c r="B17" i="5"/>
  <c r="B16" i="5"/>
  <c r="B15" i="5"/>
  <c r="B14" i="5"/>
  <c r="B22" i="4"/>
  <c r="B20" i="4"/>
  <c r="B21" i="4"/>
  <c r="C8" i="3"/>
  <c r="C5" i="3"/>
  <c r="A4" i="2"/>
  <c r="A3" i="2"/>
  <c r="A2" i="2"/>
  <c r="A1" i="2"/>
  <c r="B1" i="1"/>
</calcChain>
</file>

<file path=xl/sharedStrings.xml><?xml version="1.0" encoding="utf-8"?>
<sst xmlns="http://schemas.openxmlformats.org/spreadsheetml/2006/main" count="33" uniqueCount="33">
  <si>
    <t>length in meters</t>
  </si>
  <si>
    <t>width in meters</t>
  </si>
  <si>
    <t>area in sq meters</t>
  </si>
  <si>
    <t>fertilizer required in kgs</t>
  </si>
  <si>
    <t>Loan Paymenet Calculator</t>
  </si>
  <si>
    <t>Amount borrowed(P):</t>
  </si>
  <si>
    <t>Annual Percentage rate (APR)</t>
  </si>
  <si>
    <t>Monthly Interest Rate(i):</t>
  </si>
  <si>
    <t>Number of Monthly Payments:</t>
  </si>
  <si>
    <t>Amount of each Payment(PMT):</t>
  </si>
  <si>
    <t>Grade Data</t>
  </si>
  <si>
    <t>Student</t>
  </si>
  <si>
    <t>Score</t>
  </si>
  <si>
    <t>Mean:</t>
  </si>
  <si>
    <t>Median:</t>
  </si>
  <si>
    <t>Mode:</t>
  </si>
  <si>
    <t>Comparing Pressure Gauges</t>
  </si>
  <si>
    <t>Gauge A</t>
  </si>
  <si>
    <t>Gauge B</t>
  </si>
  <si>
    <t>Average Gauge A</t>
  </si>
  <si>
    <t>Average Gauge B</t>
  </si>
  <si>
    <t>Standard Deviation Guage A</t>
  </si>
  <si>
    <t>Standard Deviation Guage B</t>
  </si>
  <si>
    <t>Average Daily Traffic Flow (x1,0000</t>
  </si>
  <si>
    <t>Intersection #</t>
  </si>
  <si>
    <t>Year</t>
  </si>
  <si>
    <t>Temp. ( C )</t>
  </si>
  <si>
    <t>Enthalpy (kj/kg)</t>
  </si>
  <si>
    <t>Entropy(kj/kg k)</t>
  </si>
  <si>
    <t>Cost</t>
  </si>
  <si>
    <t>Revenue</t>
  </si>
  <si>
    <t>Profit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</si>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</sst>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/>
    <xf numFmtId="9" fontId="0" fillId="0" borderId="0" xfId="0" applyNumberFormat="1"/>
    <xf numFmtId="8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Y=4sin(x)-x^2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'ch.4 problem 1'!$A$1:$A$20</c:f>
              <c:numCache>
                <c:formatCode>General</c:formatCode>
                <c:ptCount val="20"/>
                <c:pt idx="0">
                  <c:v>5</c:v>
                </c:pt>
                <c:pt idx="1">
                  <c:v>-4.5</c:v>
                </c:pt>
                <c:pt idx="2">
                  <c:v>-4</c:v>
                </c:pt>
                <c:pt idx="3">
                  <c:v>5</c:v>
                </c:pt>
                <c:pt idx="4">
                  <c:v>-4.5</c:v>
                </c:pt>
                <c:pt idx="5">
                  <c:v>-4</c:v>
                </c:pt>
                <c:pt idx="6">
                  <c:v>5</c:v>
                </c:pt>
                <c:pt idx="7">
                  <c:v>-4.5</c:v>
                </c:pt>
                <c:pt idx="8">
                  <c:v>-4</c:v>
                </c:pt>
                <c:pt idx="9">
                  <c:v>5</c:v>
                </c:pt>
                <c:pt idx="10">
                  <c:v>-4.5</c:v>
                </c:pt>
                <c:pt idx="11">
                  <c:v>-4</c:v>
                </c:pt>
                <c:pt idx="12">
                  <c:v>5</c:v>
                </c:pt>
                <c:pt idx="13">
                  <c:v>-4.5</c:v>
                </c:pt>
                <c:pt idx="14">
                  <c:v>-4</c:v>
                </c:pt>
                <c:pt idx="15">
                  <c:v>5</c:v>
                </c:pt>
                <c:pt idx="16">
                  <c:v>-4.5</c:v>
                </c:pt>
                <c:pt idx="17">
                  <c:v>-4</c:v>
                </c:pt>
                <c:pt idx="18">
                  <c:v>5</c:v>
                </c:pt>
                <c:pt idx="19">
                  <c:v>-4.5</c:v>
                </c:pt>
              </c:numCache>
            </c:numRef>
          </c:xVal>
          <c:yVal>
            <c:numRef>
              <c:f>'ch.4 problem 1'!$B$1:$B$20</c:f>
              <c:numCache>
                <c:formatCode>General</c:formatCode>
                <c:ptCount val="20"/>
                <c:pt idx="0">
                  <c:v>-16.339879529339612</c:v>
                </c:pt>
                <c:pt idx="1">
                  <c:v>-12.972790018768286</c:v>
                </c:pt>
                <c:pt idx="2">
                  <c:v>-28.835697098652552</c:v>
                </c:pt>
                <c:pt idx="3">
                  <c:v>-16.339879529339612</c:v>
                </c:pt>
                <c:pt idx="4">
                  <c:v>-12.972790018768286</c:v>
                </c:pt>
                <c:pt idx="5">
                  <c:v>-28.835697098652552</c:v>
                </c:pt>
                <c:pt idx="6">
                  <c:v>-16.339879529339612</c:v>
                </c:pt>
                <c:pt idx="7">
                  <c:v>-12.972790018768286</c:v>
                </c:pt>
                <c:pt idx="8">
                  <c:v>-28.835697098652552</c:v>
                </c:pt>
                <c:pt idx="9">
                  <c:v>-16.339879529339612</c:v>
                </c:pt>
                <c:pt idx="10">
                  <c:v>-12.972790018768286</c:v>
                </c:pt>
                <c:pt idx="11">
                  <c:v>-28.835697098652552</c:v>
                </c:pt>
                <c:pt idx="12">
                  <c:v>-16.339879529339612</c:v>
                </c:pt>
                <c:pt idx="13">
                  <c:v>-12.972790018768286</c:v>
                </c:pt>
                <c:pt idx="14">
                  <c:v>-28.835697098652552</c:v>
                </c:pt>
                <c:pt idx="15">
                  <c:v>-16.339879529339612</c:v>
                </c:pt>
                <c:pt idx="16">
                  <c:v>-12.972790018768286</c:v>
                </c:pt>
                <c:pt idx="17">
                  <c:v>-28.835697098652552</c:v>
                </c:pt>
                <c:pt idx="18">
                  <c:v>-16.339879529339612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9-43B8-A70E-CACF291E9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67008"/>
        <c:axId val="475163168"/>
      </c:scatterChart>
      <c:valAx>
        <c:axId val="47516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X- </a:t>
                </a:r>
                <a:r>
                  <a:rPr lang="en-US" sz="1400" b="1"/>
                  <a:t>Axis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63168"/>
        <c:crosses val="autoZero"/>
        <c:crossBetween val="midCat"/>
      </c:valAx>
      <c:valAx>
        <c:axId val="47516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Y-Axis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6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Daily Traffic Flow 1996-2001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6'!$B$1:$B$3</c:f>
              <c:strCache>
                <c:ptCount val="3"/>
                <c:pt idx="0">
                  <c:v>Average Daily Traffic Flow (x1,0000</c:v>
                </c:pt>
                <c:pt idx="1">
                  <c:v>Intersection #</c:v>
                </c:pt>
                <c:pt idx="2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'problem 6'!$A$4:$A$9</c:f>
              <c:numCache>
                <c:formatCode>General</c:formatCode>
                <c:ptCount val="6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</c:numCache>
            </c:numRef>
          </c:cat>
          <c:val>
            <c:numRef>
              <c:f>'problem 6'!$B$4:$B$9</c:f>
              <c:numCache>
                <c:formatCode>General</c:formatCode>
                <c:ptCount val="6"/>
                <c:pt idx="0">
                  <c:v>25.3</c:v>
                </c:pt>
                <c:pt idx="1">
                  <c:v>26.3</c:v>
                </c:pt>
                <c:pt idx="2">
                  <c:v>28.6</c:v>
                </c:pt>
                <c:pt idx="3">
                  <c:v>29</c:v>
                </c:pt>
                <c:pt idx="4">
                  <c:v>32.4</c:v>
                </c:pt>
                <c:pt idx="5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2-4555-B6B6-46526563D4FA}"/>
            </c:ext>
          </c:extLst>
        </c:ser>
        <c:ser>
          <c:idx val="2"/>
          <c:order val="1"/>
          <c:tx>
            <c:strRef>
              <c:f>'problem 6'!$D$1:$D$3</c:f>
              <c:strCache>
                <c:ptCount val="3"/>
                <c:pt idx="0">
                  <c:v>Average Daily Traffic Flow (x1,0000</c:v>
                </c:pt>
                <c:pt idx="1">
                  <c:v>Intersection #</c:v>
                </c:pt>
                <c:pt idx="2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'problem 6'!$A$4:$A$9</c:f>
              <c:numCache>
                <c:formatCode>General</c:formatCode>
                <c:ptCount val="6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</c:numCache>
            </c:numRef>
          </c:cat>
          <c:val>
            <c:numRef>
              <c:f>'problem 6'!$D$4:$D$9</c:f>
              <c:numCache>
                <c:formatCode>General</c:formatCode>
                <c:ptCount val="6"/>
                <c:pt idx="0">
                  <c:v>34.799999999999997</c:v>
                </c:pt>
                <c:pt idx="1">
                  <c:v>36.9</c:v>
                </c:pt>
                <c:pt idx="2">
                  <c:v>42.6</c:v>
                </c:pt>
                <c:pt idx="3">
                  <c:v>50.6</c:v>
                </c:pt>
                <c:pt idx="4">
                  <c:v>70.8</c:v>
                </c:pt>
                <c:pt idx="5">
                  <c:v>82.3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2-4555-B6B6-46526563D4FA}"/>
            </c:ext>
          </c:extLst>
        </c:ser>
        <c:ser>
          <c:idx val="3"/>
          <c:order val="2"/>
          <c:tx>
            <c:strRef>
              <c:f>'problem 6'!$E$1:$E$3</c:f>
              <c:strCache>
                <c:ptCount val="3"/>
                <c:pt idx="0">
                  <c:v>Average Daily Traffic Flow (x1,0000</c:v>
                </c:pt>
                <c:pt idx="1">
                  <c:v>Intersection #</c:v>
                </c:pt>
                <c:pt idx="2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'problem 6'!$A$4:$A$9</c:f>
              <c:numCache>
                <c:formatCode>General</c:formatCode>
                <c:ptCount val="6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</c:numCache>
            </c:numRef>
          </c:cat>
          <c:val>
            <c:numRef>
              <c:f>'problem 6'!$E$4:$E$9</c:f>
              <c:numCache>
                <c:formatCode>General</c:formatCode>
                <c:ptCount val="6"/>
                <c:pt idx="0">
                  <c:v>45.3</c:v>
                </c:pt>
                <c:pt idx="1">
                  <c:v>48.7</c:v>
                </c:pt>
                <c:pt idx="2">
                  <c:v>43.2</c:v>
                </c:pt>
                <c:pt idx="3">
                  <c:v>46.9</c:v>
                </c:pt>
                <c:pt idx="4">
                  <c:v>54.9</c:v>
                </c:pt>
                <c:pt idx="5">
                  <c:v>60.9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62-4555-B6B6-46526563D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428704"/>
        <c:axId val="497424384"/>
      </c:lineChart>
      <c:catAx>
        <c:axId val="49742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24384"/>
        <c:crosses val="autoZero"/>
        <c:auto val="1"/>
        <c:lblAlgn val="ctr"/>
        <c:lblOffset val="100"/>
        <c:noMultiLvlLbl val="0"/>
      </c:catAx>
      <c:valAx>
        <c:axId val="4974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2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10'!$A$1:$A$29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</c:numCache>
            </c:numRef>
          </c:xVal>
          <c:yVal>
            <c:numRef>
              <c:f>'Problem 10'!$B$1:$B$29</c:f>
              <c:numCache>
                <c:formatCode>General</c:formatCode>
                <c:ptCount val="29"/>
                <c:pt idx="0">
                  <c:v>118.66926580652856</c:v>
                </c:pt>
                <c:pt idx="1">
                  <c:v>94.112367499179328</c:v>
                </c:pt>
                <c:pt idx="2">
                  <c:v>77.203989477306365</c:v>
                </c:pt>
                <c:pt idx="3">
                  <c:v>64.58597452969336</c:v>
                </c:pt>
                <c:pt idx="4">
                  <c:v>54.760584190837562</c:v>
                </c:pt>
                <c:pt idx="5">
                  <c:v>46.927392217090912</c:v>
                </c:pt>
                <c:pt idx="6">
                  <c:v>40.607468096393305</c:v>
                </c:pt>
                <c:pt idx="7">
                  <c:v>35.491020124952989</c:v>
                </c:pt>
                <c:pt idx="8">
                  <c:v>31.365883939231587</c:v>
                </c:pt>
                <c:pt idx="9">
                  <c:v>25.521898265849764</c:v>
                </c:pt>
                <c:pt idx="10">
                  <c:v>23.605284080216833</c:v>
                </c:pt>
                <c:pt idx="11">
                  <c:v>22.264048012817423</c:v>
                </c:pt>
                <c:pt idx="12">
                  <c:v>21.44567813560186</c:v>
                </c:pt>
                <c:pt idx="13">
                  <c:v>21.108065769684679</c:v>
                </c:pt>
                <c:pt idx="14">
                  <c:v>21.217079424893129</c:v>
                </c:pt>
                <c:pt idx="15">
                  <c:v>21.744830634679282</c:v>
                </c:pt>
                <c:pt idx="16">
                  <c:v>22.668405521888786</c:v>
                </c:pt>
                <c:pt idx="17">
                  <c:v>23.968917332026173</c:v>
                </c:pt>
                <c:pt idx="18">
                  <c:v>25.630784748644729</c:v>
                </c:pt>
                <c:pt idx="19">
                  <c:v>27.641171912329341</c:v>
                </c:pt>
                <c:pt idx="20">
                  <c:v>29.989546103795327</c:v>
                </c:pt>
                <c:pt idx="21">
                  <c:v>32.667322268908919</c:v>
                </c:pt>
                <c:pt idx="22">
                  <c:v>35.667572468344062</c:v>
                </c:pt>
                <c:pt idx="23">
                  <c:v>38.98478445055737</c:v>
                </c:pt>
                <c:pt idx="24">
                  <c:v>42.61465782128748</c:v>
                </c:pt>
                <c:pt idx="25">
                  <c:v>46.553929318210635</c:v>
                </c:pt>
                <c:pt idx="26">
                  <c:v>50.800220886332951</c:v>
                </c:pt>
                <c:pt idx="27">
                  <c:v>55.351905846148554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3-483F-8F8B-E682625B5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428224"/>
        <c:axId val="497429664"/>
      </c:scatterChart>
      <c:valAx>
        <c:axId val="49742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29664"/>
        <c:crosses val="autoZero"/>
        <c:crossBetween val="midCat"/>
      </c:valAx>
      <c:valAx>
        <c:axId val="4974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2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and Enthalpy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'ch.4 problem 11'!$A$2:$A$6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</c:numCache>
            </c:numRef>
          </c:xVal>
          <c:yVal>
            <c:numRef>
              <c:f>'ch.4 problem 11'!$B$2:$B$6</c:f>
              <c:numCache>
                <c:formatCode>General</c:formatCode>
                <c:ptCount val="5"/>
                <c:pt idx="0">
                  <c:v>2680</c:v>
                </c:pt>
                <c:pt idx="1">
                  <c:v>2750</c:v>
                </c:pt>
                <c:pt idx="2">
                  <c:v>2790</c:v>
                </c:pt>
                <c:pt idx="3">
                  <c:v>2800</c:v>
                </c:pt>
                <c:pt idx="4">
                  <c:v>2750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F-417C-9166-7799F952F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59328"/>
        <c:axId val="296401040"/>
      </c:scatterChart>
      <c:valAx>
        <c:axId val="4751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01040"/>
        <c:crosses val="autoZero"/>
        <c:crossBetween val="midCat"/>
      </c:valAx>
      <c:valAx>
        <c:axId val="2964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5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'ch.4 problem 11'!$A$2:$A$6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</c:numCache>
            </c:numRef>
          </c:xVal>
          <c:yVal>
            <c:numRef>
              <c:f>'ch.4 problem 11'!$B$2:$B$6</c:f>
              <c:numCache>
                <c:formatCode>General</c:formatCode>
                <c:ptCount val="5"/>
                <c:pt idx="0">
                  <c:v>2680</c:v>
                </c:pt>
                <c:pt idx="1">
                  <c:v>2750</c:v>
                </c:pt>
                <c:pt idx="2">
                  <c:v>2790</c:v>
                </c:pt>
                <c:pt idx="3">
                  <c:v>2800</c:v>
                </c:pt>
                <c:pt idx="4">
                  <c:v>2750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E-490A-849D-3838FE9B2B5D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'ch.4 problem 11'!$A$2:$A$6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</c:numCache>
            </c:numRef>
          </c:xVal>
          <c:yVal>
            <c:numRef>
              <c:f>'ch.4 problem 11'!$C$2:$C$6</c:f>
              <c:numCache>
                <c:formatCode>General</c:formatCode>
                <c:ptCount val="5"/>
                <c:pt idx="0">
                  <c:v>7.4</c:v>
                </c:pt>
                <c:pt idx="1">
                  <c:v>6.8</c:v>
                </c:pt>
                <c:pt idx="2">
                  <c:v>6.4</c:v>
                </c:pt>
                <c:pt idx="3">
                  <c:v>6.1</c:v>
                </c:pt>
                <c:pt idx="4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8E-490A-849D-3838FE9B2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174704"/>
        <c:axId val="296175184"/>
      </c:scatterChart>
      <c:valAx>
        <c:axId val="29617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75184"/>
        <c:crosses val="autoZero"/>
        <c:crossBetween val="midCat"/>
      </c:valAx>
      <c:valAx>
        <c:axId val="2961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74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'ch.4 problem 12'!$B$1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'ch.4 problem 12'!$A$2:$A$202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'ch.4 problem 12'!$B$2:$B$202</c:f>
              <c:numCache>
                <c:formatCode>General</c:formatCode>
                <c:ptCount val="201"/>
                <c:pt idx="0">
                  <c:v>80.2</c:v>
                </c:pt>
                <c:pt idx="1">
                  <c:v>97.8</c:v>
                </c:pt>
                <c:pt idx="2">
                  <c:v>117.8</c:v>
                </c:pt>
                <c:pt idx="3">
                  <c:v>140.19999999999999</c:v>
                </c:pt>
                <c:pt idx="4">
                  <c:v>165</c:v>
                </c:pt>
                <c:pt idx="5">
                  <c:v>192.2</c:v>
                </c:pt>
                <c:pt idx="6">
                  <c:v>221.8</c:v>
                </c:pt>
                <c:pt idx="7">
                  <c:v>253.8</c:v>
                </c:pt>
                <c:pt idx="8">
                  <c:v>288.2</c:v>
                </c:pt>
                <c:pt idx="9">
                  <c:v>325</c:v>
                </c:pt>
                <c:pt idx="10">
                  <c:v>364.2</c:v>
                </c:pt>
                <c:pt idx="11">
                  <c:v>405.79999999999995</c:v>
                </c:pt>
                <c:pt idx="12">
                  <c:v>449.79999999999995</c:v>
                </c:pt>
                <c:pt idx="13">
                  <c:v>496.2</c:v>
                </c:pt>
                <c:pt idx="14">
                  <c:v>545</c:v>
                </c:pt>
                <c:pt idx="15">
                  <c:v>596.20000000000005</c:v>
                </c:pt>
                <c:pt idx="16">
                  <c:v>649.79999999999995</c:v>
                </c:pt>
                <c:pt idx="17">
                  <c:v>705.8</c:v>
                </c:pt>
                <c:pt idx="18">
                  <c:v>764.2</c:v>
                </c:pt>
                <c:pt idx="19">
                  <c:v>825</c:v>
                </c:pt>
                <c:pt idx="20">
                  <c:v>888.19999999999993</c:v>
                </c:pt>
                <c:pt idx="21">
                  <c:v>953.8</c:v>
                </c:pt>
                <c:pt idx="22">
                  <c:v>1021.8</c:v>
                </c:pt>
                <c:pt idx="23">
                  <c:v>1092.1999999999998</c:v>
                </c:pt>
                <c:pt idx="24">
                  <c:v>1165</c:v>
                </c:pt>
                <c:pt idx="25">
                  <c:v>1240.1999999999998</c:v>
                </c:pt>
                <c:pt idx="26">
                  <c:v>1317.8</c:v>
                </c:pt>
                <c:pt idx="27">
                  <c:v>1397.8</c:v>
                </c:pt>
                <c:pt idx="28">
                  <c:v>1480.1999999999998</c:v>
                </c:pt>
                <c:pt idx="29">
                  <c:v>1565</c:v>
                </c:pt>
                <c:pt idx="30">
                  <c:v>1652.2</c:v>
                </c:pt>
                <c:pt idx="31">
                  <c:v>1741.8</c:v>
                </c:pt>
                <c:pt idx="32">
                  <c:v>1833.8</c:v>
                </c:pt>
                <c:pt idx="33">
                  <c:v>1928.2</c:v>
                </c:pt>
                <c:pt idx="34">
                  <c:v>2025</c:v>
                </c:pt>
                <c:pt idx="35">
                  <c:v>2124.1999999999998</c:v>
                </c:pt>
                <c:pt idx="36">
                  <c:v>2225.8000000000002</c:v>
                </c:pt>
                <c:pt idx="37">
                  <c:v>2329.8000000000002</c:v>
                </c:pt>
                <c:pt idx="38">
                  <c:v>2436.1999999999998</c:v>
                </c:pt>
                <c:pt idx="39">
                  <c:v>2545</c:v>
                </c:pt>
                <c:pt idx="40">
                  <c:v>2656.2</c:v>
                </c:pt>
                <c:pt idx="41">
                  <c:v>2769.7999999999997</c:v>
                </c:pt>
                <c:pt idx="42">
                  <c:v>2885.7999999999997</c:v>
                </c:pt>
                <c:pt idx="43">
                  <c:v>3004.2</c:v>
                </c:pt>
                <c:pt idx="44">
                  <c:v>3125</c:v>
                </c:pt>
                <c:pt idx="45">
                  <c:v>3248.2</c:v>
                </c:pt>
                <c:pt idx="46">
                  <c:v>3373.7999999999997</c:v>
                </c:pt>
                <c:pt idx="47">
                  <c:v>3501.7999999999997</c:v>
                </c:pt>
                <c:pt idx="48">
                  <c:v>3632.2</c:v>
                </c:pt>
                <c:pt idx="49">
                  <c:v>3765</c:v>
                </c:pt>
                <c:pt idx="50">
                  <c:v>3900.2</c:v>
                </c:pt>
                <c:pt idx="51">
                  <c:v>4037.7999999999997</c:v>
                </c:pt>
                <c:pt idx="52">
                  <c:v>4177.7999999999993</c:v>
                </c:pt>
                <c:pt idx="53">
                  <c:v>4320.2</c:v>
                </c:pt>
                <c:pt idx="54">
                  <c:v>4465</c:v>
                </c:pt>
                <c:pt idx="55">
                  <c:v>4612.2</c:v>
                </c:pt>
                <c:pt idx="56">
                  <c:v>4761.7999999999993</c:v>
                </c:pt>
                <c:pt idx="57">
                  <c:v>4913.7999999999993</c:v>
                </c:pt>
                <c:pt idx="58">
                  <c:v>5068.2</c:v>
                </c:pt>
                <c:pt idx="59">
                  <c:v>5225</c:v>
                </c:pt>
                <c:pt idx="60">
                  <c:v>5384.2</c:v>
                </c:pt>
                <c:pt idx="61">
                  <c:v>5545.8</c:v>
                </c:pt>
                <c:pt idx="62">
                  <c:v>5709.8</c:v>
                </c:pt>
                <c:pt idx="63">
                  <c:v>5876.2</c:v>
                </c:pt>
                <c:pt idx="64">
                  <c:v>6045</c:v>
                </c:pt>
                <c:pt idx="65">
                  <c:v>6216.2</c:v>
                </c:pt>
                <c:pt idx="66">
                  <c:v>6389.8</c:v>
                </c:pt>
                <c:pt idx="67">
                  <c:v>6565.8</c:v>
                </c:pt>
                <c:pt idx="68">
                  <c:v>6744.2</c:v>
                </c:pt>
                <c:pt idx="69">
                  <c:v>6925</c:v>
                </c:pt>
                <c:pt idx="70">
                  <c:v>7108.2</c:v>
                </c:pt>
                <c:pt idx="71">
                  <c:v>7293.8</c:v>
                </c:pt>
                <c:pt idx="72">
                  <c:v>7481.8</c:v>
                </c:pt>
                <c:pt idx="73">
                  <c:v>7672.2</c:v>
                </c:pt>
                <c:pt idx="74">
                  <c:v>7865</c:v>
                </c:pt>
                <c:pt idx="75">
                  <c:v>8060.2</c:v>
                </c:pt>
                <c:pt idx="76">
                  <c:v>8257.7999999999993</c:v>
                </c:pt>
                <c:pt idx="77">
                  <c:v>8457.7999999999993</c:v>
                </c:pt>
                <c:pt idx="78">
                  <c:v>8660.2000000000007</c:v>
                </c:pt>
                <c:pt idx="79">
                  <c:v>8865</c:v>
                </c:pt>
                <c:pt idx="80">
                  <c:v>9072.2000000000007</c:v>
                </c:pt>
                <c:pt idx="81">
                  <c:v>9281.7999999999993</c:v>
                </c:pt>
                <c:pt idx="82">
                  <c:v>9493.7999999999993</c:v>
                </c:pt>
                <c:pt idx="83">
                  <c:v>9708.1999999999989</c:v>
                </c:pt>
                <c:pt idx="84">
                  <c:v>9925</c:v>
                </c:pt>
                <c:pt idx="85">
                  <c:v>10144.199999999999</c:v>
                </c:pt>
                <c:pt idx="86">
                  <c:v>10365.799999999999</c:v>
                </c:pt>
                <c:pt idx="87">
                  <c:v>10589.8</c:v>
                </c:pt>
                <c:pt idx="88">
                  <c:v>10816.199999999999</c:v>
                </c:pt>
                <c:pt idx="89">
                  <c:v>11045</c:v>
                </c:pt>
                <c:pt idx="90">
                  <c:v>11276.199999999999</c:v>
                </c:pt>
                <c:pt idx="91">
                  <c:v>11509.8</c:v>
                </c:pt>
                <c:pt idx="92">
                  <c:v>11745.8</c:v>
                </c:pt>
                <c:pt idx="93">
                  <c:v>11984.199999999999</c:v>
                </c:pt>
                <c:pt idx="94">
                  <c:v>12225</c:v>
                </c:pt>
                <c:pt idx="95">
                  <c:v>12468.199999999999</c:v>
                </c:pt>
                <c:pt idx="96">
                  <c:v>12713.8</c:v>
                </c:pt>
                <c:pt idx="97">
                  <c:v>12961.8</c:v>
                </c:pt>
                <c:pt idx="98">
                  <c:v>13212.199999999999</c:v>
                </c:pt>
                <c:pt idx="99">
                  <c:v>13465</c:v>
                </c:pt>
                <c:pt idx="100">
                  <c:v>13720.199999999999</c:v>
                </c:pt>
                <c:pt idx="101">
                  <c:v>13977.8</c:v>
                </c:pt>
                <c:pt idx="102">
                  <c:v>14237.8</c:v>
                </c:pt>
                <c:pt idx="103">
                  <c:v>14500.199999999999</c:v>
                </c:pt>
                <c:pt idx="104">
                  <c:v>14765</c:v>
                </c:pt>
                <c:pt idx="105">
                  <c:v>15032.199999999999</c:v>
                </c:pt>
                <c:pt idx="106">
                  <c:v>15301.8</c:v>
                </c:pt>
                <c:pt idx="107">
                  <c:v>15573.8</c:v>
                </c:pt>
                <c:pt idx="108">
                  <c:v>15848.199999999999</c:v>
                </c:pt>
                <c:pt idx="109">
                  <c:v>16125</c:v>
                </c:pt>
                <c:pt idx="110">
                  <c:v>16404.199999999997</c:v>
                </c:pt>
                <c:pt idx="111">
                  <c:v>16685.8</c:v>
                </c:pt>
                <c:pt idx="112">
                  <c:v>16969.8</c:v>
                </c:pt>
                <c:pt idx="113">
                  <c:v>17256.199999999997</c:v>
                </c:pt>
                <c:pt idx="114">
                  <c:v>17545</c:v>
                </c:pt>
                <c:pt idx="115">
                  <c:v>17836.199999999997</c:v>
                </c:pt>
                <c:pt idx="116">
                  <c:v>18129.8</c:v>
                </c:pt>
                <c:pt idx="117">
                  <c:v>18425.8</c:v>
                </c:pt>
                <c:pt idx="118">
                  <c:v>18724.2</c:v>
                </c:pt>
                <c:pt idx="119">
                  <c:v>19025</c:v>
                </c:pt>
                <c:pt idx="120">
                  <c:v>19328.2</c:v>
                </c:pt>
                <c:pt idx="121">
                  <c:v>19633.8</c:v>
                </c:pt>
                <c:pt idx="122">
                  <c:v>19941.8</c:v>
                </c:pt>
                <c:pt idx="123">
                  <c:v>20252.2</c:v>
                </c:pt>
                <c:pt idx="124">
                  <c:v>20565</c:v>
                </c:pt>
                <c:pt idx="125">
                  <c:v>20880.2</c:v>
                </c:pt>
                <c:pt idx="126">
                  <c:v>21197.8</c:v>
                </c:pt>
                <c:pt idx="127">
                  <c:v>21517.8</c:v>
                </c:pt>
                <c:pt idx="128">
                  <c:v>21840.2</c:v>
                </c:pt>
                <c:pt idx="129">
                  <c:v>22165</c:v>
                </c:pt>
                <c:pt idx="130">
                  <c:v>22492.2</c:v>
                </c:pt>
                <c:pt idx="131">
                  <c:v>22821.8</c:v>
                </c:pt>
                <c:pt idx="132">
                  <c:v>23153.8</c:v>
                </c:pt>
                <c:pt idx="133">
                  <c:v>23488.2</c:v>
                </c:pt>
                <c:pt idx="134">
                  <c:v>23825</c:v>
                </c:pt>
                <c:pt idx="135">
                  <c:v>24164.2</c:v>
                </c:pt>
                <c:pt idx="136">
                  <c:v>24505.8</c:v>
                </c:pt>
                <c:pt idx="137">
                  <c:v>24849.8</c:v>
                </c:pt>
                <c:pt idx="138">
                  <c:v>25196.2</c:v>
                </c:pt>
                <c:pt idx="139">
                  <c:v>25545</c:v>
                </c:pt>
                <c:pt idx="140">
                  <c:v>25896.2</c:v>
                </c:pt>
                <c:pt idx="141">
                  <c:v>26249.8</c:v>
                </c:pt>
                <c:pt idx="142">
                  <c:v>26605.8</c:v>
                </c:pt>
                <c:pt idx="143">
                  <c:v>26964.2</c:v>
                </c:pt>
                <c:pt idx="144">
                  <c:v>27325</c:v>
                </c:pt>
                <c:pt idx="145">
                  <c:v>27688.2</c:v>
                </c:pt>
                <c:pt idx="146">
                  <c:v>28053.8</c:v>
                </c:pt>
                <c:pt idx="147">
                  <c:v>28421.8</c:v>
                </c:pt>
                <c:pt idx="148">
                  <c:v>28792.2</c:v>
                </c:pt>
                <c:pt idx="149">
                  <c:v>29165</c:v>
                </c:pt>
                <c:pt idx="150">
                  <c:v>29540.2</c:v>
                </c:pt>
                <c:pt idx="151">
                  <c:v>29917.8</c:v>
                </c:pt>
                <c:pt idx="152">
                  <c:v>30297.8</c:v>
                </c:pt>
                <c:pt idx="153">
                  <c:v>30680.2</c:v>
                </c:pt>
                <c:pt idx="154">
                  <c:v>31065</c:v>
                </c:pt>
                <c:pt idx="155">
                  <c:v>31452.2</c:v>
                </c:pt>
                <c:pt idx="156">
                  <c:v>31841.8</c:v>
                </c:pt>
                <c:pt idx="157">
                  <c:v>32233.8</c:v>
                </c:pt>
                <c:pt idx="158">
                  <c:v>32628.199999999997</c:v>
                </c:pt>
                <c:pt idx="159">
                  <c:v>33025</c:v>
                </c:pt>
                <c:pt idx="160">
                  <c:v>33424.199999999997</c:v>
                </c:pt>
                <c:pt idx="161">
                  <c:v>33825.800000000003</c:v>
                </c:pt>
                <c:pt idx="162">
                  <c:v>34229.800000000003</c:v>
                </c:pt>
                <c:pt idx="163">
                  <c:v>34636.199999999997</c:v>
                </c:pt>
                <c:pt idx="164">
                  <c:v>35045</c:v>
                </c:pt>
                <c:pt idx="165">
                  <c:v>35456.199999999997</c:v>
                </c:pt>
                <c:pt idx="166">
                  <c:v>35869.799999999996</c:v>
                </c:pt>
                <c:pt idx="167">
                  <c:v>36285.799999999996</c:v>
                </c:pt>
                <c:pt idx="168">
                  <c:v>36704.199999999997</c:v>
                </c:pt>
                <c:pt idx="169">
                  <c:v>37125</c:v>
                </c:pt>
                <c:pt idx="170">
                  <c:v>37548.199999999997</c:v>
                </c:pt>
                <c:pt idx="171">
                  <c:v>37973.799999999996</c:v>
                </c:pt>
                <c:pt idx="172">
                  <c:v>38401.799999999996</c:v>
                </c:pt>
                <c:pt idx="173">
                  <c:v>38832.199999999997</c:v>
                </c:pt>
                <c:pt idx="174">
                  <c:v>39265</c:v>
                </c:pt>
                <c:pt idx="175">
                  <c:v>39700.199999999997</c:v>
                </c:pt>
                <c:pt idx="176">
                  <c:v>40137.799999999996</c:v>
                </c:pt>
                <c:pt idx="177">
                  <c:v>40577.799999999996</c:v>
                </c:pt>
                <c:pt idx="178">
                  <c:v>41020.199999999997</c:v>
                </c:pt>
                <c:pt idx="179">
                  <c:v>41465</c:v>
                </c:pt>
                <c:pt idx="180">
                  <c:v>41912.199999999997</c:v>
                </c:pt>
                <c:pt idx="181">
                  <c:v>42361.799999999996</c:v>
                </c:pt>
                <c:pt idx="182">
                  <c:v>42813.799999999996</c:v>
                </c:pt>
                <c:pt idx="183">
                  <c:v>43268.2</c:v>
                </c:pt>
                <c:pt idx="184">
                  <c:v>43725</c:v>
                </c:pt>
                <c:pt idx="185">
                  <c:v>44184.2</c:v>
                </c:pt>
                <c:pt idx="186">
                  <c:v>44645.799999999996</c:v>
                </c:pt>
                <c:pt idx="187">
                  <c:v>45109.799999999996</c:v>
                </c:pt>
                <c:pt idx="188">
                  <c:v>45576.2</c:v>
                </c:pt>
                <c:pt idx="189">
                  <c:v>46045</c:v>
                </c:pt>
                <c:pt idx="190">
                  <c:v>46516.2</c:v>
                </c:pt>
                <c:pt idx="191">
                  <c:v>46989.799999999996</c:v>
                </c:pt>
                <c:pt idx="192">
                  <c:v>47465.799999999996</c:v>
                </c:pt>
                <c:pt idx="193">
                  <c:v>47944.2</c:v>
                </c:pt>
                <c:pt idx="194">
                  <c:v>48425</c:v>
                </c:pt>
                <c:pt idx="195">
                  <c:v>48908.2</c:v>
                </c:pt>
                <c:pt idx="196">
                  <c:v>49393.799999999996</c:v>
                </c:pt>
                <c:pt idx="197">
                  <c:v>49881.799999999996</c:v>
                </c:pt>
                <c:pt idx="198">
                  <c:v>50372.2</c:v>
                </c:pt>
                <c:pt idx="199">
                  <c:v>50865</c:v>
                </c:pt>
                <c:pt idx="200">
                  <c:v>51360.2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5-4BD1-B18C-E3297879D60A}"/>
            </c:ext>
          </c:extLst>
        </c:ser>
        <c:ser>
          <c:idx val="1"/>
          <c:order val="1"/>
          <c:tx>
            <c:strRef>
              <c:f>'ch.4 problem 12'!$C$1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'ch.4 problem 12'!$A$2:$A$202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'ch.4 problem 12'!$C$2:$C$202</c:f>
              <c:numCache>
                <c:formatCode>General</c:formatCode>
                <c:ptCount val="201"/>
                <c:pt idx="0">
                  <c:v>526.98500000000001</c:v>
                </c:pt>
                <c:pt idx="1">
                  <c:v>1053.8800000000001</c:v>
                </c:pt>
                <c:pt idx="2">
                  <c:v>1580.595</c:v>
                </c:pt>
                <c:pt idx="3">
                  <c:v>2107.04</c:v>
                </c:pt>
                <c:pt idx="4">
                  <c:v>2633.125</c:v>
                </c:pt>
                <c:pt idx="5">
                  <c:v>3158.76</c:v>
                </c:pt>
                <c:pt idx="6">
                  <c:v>3683.855</c:v>
                </c:pt>
                <c:pt idx="7">
                  <c:v>4208.32</c:v>
                </c:pt>
                <c:pt idx="8">
                  <c:v>4732.0649999999996</c:v>
                </c:pt>
                <c:pt idx="9">
                  <c:v>5255</c:v>
                </c:pt>
                <c:pt idx="10">
                  <c:v>5777.0349999999999</c:v>
                </c:pt>
                <c:pt idx="11">
                  <c:v>6298.08</c:v>
                </c:pt>
                <c:pt idx="12">
                  <c:v>6818.0450000000001</c:v>
                </c:pt>
                <c:pt idx="13">
                  <c:v>7336.84</c:v>
                </c:pt>
                <c:pt idx="14">
                  <c:v>7854.375</c:v>
                </c:pt>
                <c:pt idx="15">
                  <c:v>8370.56</c:v>
                </c:pt>
                <c:pt idx="16">
                  <c:v>8885.3050000000003</c:v>
                </c:pt>
                <c:pt idx="17">
                  <c:v>9398.52</c:v>
                </c:pt>
                <c:pt idx="18">
                  <c:v>9910.1149999999998</c:v>
                </c:pt>
                <c:pt idx="19">
                  <c:v>10420</c:v>
                </c:pt>
                <c:pt idx="20">
                  <c:v>10928.084999999999</c:v>
                </c:pt>
                <c:pt idx="21">
                  <c:v>11434.28</c:v>
                </c:pt>
                <c:pt idx="22">
                  <c:v>11938.495000000001</c:v>
                </c:pt>
                <c:pt idx="23">
                  <c:v>12440.64</c:v>
                </c:pt>
                <c:pt idx="24">
                  <c:v>12940.625</c:v>
                </c:pt>
                <c:pt idx="25">
                  <c:v>13438.36</c:v>
                </c:pt>
                <c:pt idx="26">
                  <c:v>13933.754999999999</c:v>
                </c:pt>
                <c:pt idx="27">
                  <c:v>14426.72</c:v>
                </c:pt>
                <c:pt idx="28">
                  <c:v>14917.165000000001</c:v>
                </c:pt>
                <c:pt idx="29">
                  <c:v>15405</c:v>
                </c:pt>
                <c:pt idx="30">
                  <c:v>15890.135</c:v>
                </c:pt>
                <c:pt idx="31">
                  <c:v>16372.48</c:v>
                </c:pt>
                <c:pt idx="32">
                  <c:v>16851.945</c:v>
                </c:pt>
                <c:pt idx="33">
                  <c:v>17328.439999999999</c:v>
                </c:pt>
                <c:pt idx="34">
                  <c:v>17801.875</c:v>
                </c:pt>
                <c:pt idx="35">
                  <c:v>18272.16</c:v>
                </c:pt>
                <c:pt idx="36">
                  <c:v>18739.205000000002</c:v>
                </c:pt>
                <c:pt idx="37">
                  <c:v>19202.919999999998</c:v>
                </c:pt>
                <c:pt idx="38">
                  <c:v>19663.215</c:v>
                </c:pt>
                <c:pt idx="39">
                  <c:v>20120</c:v>
                </c:pt>
                <c:pt idx="40">
                  <c:v>20573.185000000001</c:v>
                </c:pt>
                <c:pt idx="41">
                  <c:v>21022.68</c:v>
                </c:pt>
                <c:pt idx="42">
                  <c:v>21468.395</c:v>
                </c:pt>
                <c:pt idx="43">
                  <c:v>21910.240000000002</c:v>
                </c:pt>
                <c:pt idx="44">
                  <c:v>22348.125</c:v>
                </c:pt>
                <c:pt idx="45">
                  <c:v>22781.96</c:v>
                </c:pt>
                <c:pt idx="46">
                  <c:v>23211.654999999999</c:v>
                </c:pt>
                <c:pt idx="47">
                  <c:v>23637.119999999999</c:v>
                </c:pt>
                <c:pt idx="48">
                  <c:v>24058.264999999999</c:v>
                </c:pt>
                <c:pt idx="49">
                  <c:v>24475</c:v>
                </c:pt>
                <c:pt idx="50">
                  <c:v>24887.235000000001</c:v>
                </c:pt>
                <c:pt idx="51">
                  <c:v>25294.880000000001</c:v>
                </c:pt>
                <c:pt idx="52">
                  <c:v>25697.845000000001</c:v>
                </c:pt>
                <c:pt idx="53">
                  <c:v>26096.04</c:v>
                </c:pt>
                <c:pt idx="54">
                  <c:v>26489.375</c:v>
                </c:pt>
                <c:pt idx="55">
                  <c:v>26877.760000000002</c:v>
                </c:pt>
                <c:pt idx="56">
                  <c:v>27261.105</c:v>
                </c:pt>
                <c:pt idx="57">
                  <c:v>27639.32</c:v>
                </c:pt>
                <c:pt idx="58">
                  <c:v>28012.314999999999</c:v>
                </c:pt>
                <c:pt idx="59">
                  <c:v>28380</c:v>
                </c:pt>
                <c:pt idx="60">
                  <c:v>28742.285</c:v>
                </c:pt>
                <c:pt idx="61">
                  <c:v>29099.08</c:v>
                </c:pt>
                <c:pt idx="62">
                  <c:v>29450.294999999998</c:v>
                </c:pt>
                <c:pt idx="63">
                  <c:v>29795.84</c:v>
                </c:pt>
                <c:pt idx="64">
                  <c:v>30135.625</c:v>
                </c:pt>
                <c:pt idx="65">
                  <c:v>30469.56</c:v>
                </c:pt>
                <c:pt idx="66">
                  <c:v>30797.555</c:v>
                </c:pt>
                <c:pt idx="67">
                  <c:v>31119.52</c:v>
                </c:pt>
                <c:pt idx="68">
                  <c:v>31435.364999999998</c:v>
                </c:pt>
                <c:pt idx="69">
                  <c:v>31745</c:v>
                </c:pt>
                <c:pt idx="70">
                  <c:v>32048.334999999999</c:v>
                </c:pt>
                <c:pt idx="71">
                  <c:v>32345.279999999999</c:v>
                </c:pt>
                <c:pt idx="72">
                  <c:v>32635.744999999999</c:v>
                </c:pt>
                <c:pt idx="73">
                  <c:v>32919.64</c:v>
                </c:pt>
                <c:pt idx="74">
                  <c:v>33196.875</c:v>
                </c:pt>
                <c:pt idx="75">
                  <c:v>33467.360000000001</c:v>
                </c:pt>
                <c:pt idx="76">
                  <c:v>33731.004999999997</c:v>
                </c:pt>
                <c:pt idx="77">
                  <c:v>33987.72</c:v>
                </c:pt>
                <c:pt idx="78">
                  <c:v>34237.415000000001</c:v>
                </c:pt>
                <c:pt idx="79">
                  <c:v>34480</c:v>
                </c:pt>
                <c:pt idx="80">
                  <c:v>34715.385000000002</c:v>
                </c:pt>
                <c:pt idx="81">
                  <c:v>34943.479999999996</c:v>
                </c:pt>
                <c:pt idx="82">
                  <c:v>35164.195</c:v>
                </c:pt>
                <c:pt idx="83">
                  <c:v>35377.440000000002</c:v>
                </c:pt>
                <c:pt idx="84">
                  <c:v>35583.125</c:v>
                </c:pt>
                <c:pt idx="85">
                  <c:v>35781.160000000003</c:v>
                </c:pt>
                <c:pt idx="86">
                  <c:v>35971.455000000002</c:v>
                </c:pt>
                <c:pt idx="87">
                  <c:v>36153.919999999998</c:v>
                </c:pt>
                <c:pt idx="88">
                  <c:v>36328.464999999997</c:v>
                </c:pt>
                <c:pt idx="89">
                  <c:v>36495</c:v>
                </c:pt>
                <c:pt idx="90">
                  <c:v>36653.434999999998</c:v>
                </c:pt>
                <c:pt idx="91">
                  <c:v>36803.68</c:v>
                </c:pt>
                <c:pt idx="92">
                  <c:v>36945.645000000004</c:v>
                </c:pt>
                <c:pt idx="93">
                  <c:v>37079.24</c:v>
                </c:pt>
                <c:pt idx="94">
                  <c:v>37204.375</c:v>
                </c:pt>
                <c:pt idx="95">
                  <c:v>37320.959999999999</c:v>
                </c:pt>
                <c:pt idx="96">
                  <c:v>37428.904999999999</c:v>
                </c:pt>
                <c:pt idx="97">
                  <c:v>37528.120000000003</c:v>
                </c:pt>
                <c:pt idx="98">
                  <c:v>37618.514999999999</c:v>
                </c:pt>
                <c:pt idx="99">
                  <c:v>37700</c:v>
                </c:pt>
                <c:pt idx="100">
                  <c:v>37772.485000000001</c:v>
                </c:pt>
                <c:pt idx="101">
                  <c:v>37835.880000000005</c:v>
                </c:pt>
                <c:pt idx="102">
                  <c:v>37890.095000000001</c:v>
                </c:pt>
                <c:pt idx="103">
                  <c:v>37935.040000000001</c:v>
                </c:pt>
                <c:pt idx="104">
                  <c:v>37970.625</c:v>
                </c:pt>
                <c:pt idx="105">
                  <c:v>37996.76</c:v>
                </c:pt>
                <c:pt idx="106">
                  <c:v>38013.354999999996</c:v>
                </c:pt>
                <c:pt idx="107">
                  <c:v>38020.32</c:v>
                </c:pt>
                <c:pt idx="108">
                  <c:v>38017.565000000002</c:v>
                </c:pt>
                <c:pt idx="109">
                  <c:v>38005</c:v>
                </c:pt>
                <c:pt idx="110">
                  <c:v>37982.535000000003</c:v>
                </c:pt>
                <c:pt idx="111">
                  <c:v>37950.080000000002</c:v>
                </c:pt>
                <c:pt idx="112">
                  <c:v>37907.544999999998</c:v>
                </c:pt>
                <c:pt idx="113">
                  <c:v>37854.839999999997</c:v>
                </c:pt>
                <c:pt idx="114">
                  <c:v>37791.875</c:v>
                </c:pt>
                <c:pt idx="115">
                  <c:v>37718.559999999998</c:v>
                </c:pt>
                <c:pt idx="116">
                  <c:v>37634.805</c:v>
                </c:pt>
                <c:pt idx="117">
                  <c:v>37540.520000000004</c:v>
                </c:pt>
                <c:pt idx="118">
                  <c:v>37435.615000000005</c:v>
                </c:pt>
                <c:pt idx="119">
                  <c:v>37320</c:v>
                </c:pt>
                <c:pt idx="120">
                  <c:v>37193.585000000006</c:v>
                </c:pt>
                <c:pt idx="121">
                  <c:v>37056.28</c:v>
                </c:pt>
                <c:pt idx="122">
                  <c:v>36907.995000000003</c:v>
                </c:pt>
                <c:pt idx="123">
                  <c:v>36748.639999999999</c:v>
                </c:pt>
                <c:pt idx="124">
                  <c:v>36578.125</c:v>
                </c:pt>
                <c:pt idx="125">
                  <c:v>36396.36</c:v>
                </c:pt>
                <c:pt idx="126">
                  <c:v>36203.255000000005</c:v>
                </c:pt>
                <c:pt idx="127">
                  <c:v>35998.720000000001</c:v>
                </c:pt>
                <c:pt idx="128">
                  <c:v>35782.665000000001</c:v>
                </c:pt>
                <c:pt idx="129">
                  <c:v>35555</c:v>
                </c:pt>
                <c:pt idx="130">
                  <c:v>35315.635000000002</c:v>
                </c:pt>
                <c:pt idx="131">
                  <c:v>35064.480000000003</c:v>
                </c:pt>
                <c:pt idx="132">
                  <c:v>34801.445</c:v>
                </c:pt>
                <c:pt idx="133">
                  <c:v>34526.44</c:v>
                </c:pt>
                <c:pt idx="134">
                  <c:v>34239.375</c:v>
                </c:pt>
                <c:pt idx="135">
                  <c:v>33940.160000000003</c:v>
                </c:pt>
                <c:pt idx="136">
                  <c:v>33628.705000000002</c:v>
                </c:pt>
                <c:pt idx="137">
                  <c:v>33304.92</c:v>
                </c:pt>
                <c:pt idx="138">
                  <c:v>32968.715000000004</c:v>
                </c:pt>
                <c:pt idx="139">
                  <c:v>32620</c:v>
                </c:pt>
                <c:pt idx="140">
                  <c:v>32258.685000000005</c:v>
                </c:pt>
                <c:pt idx="141">
                  <c:v>31884.68</c:v>
                </c:pt>
                <c:pt idx="142">
                  <c:v>31497.895000000004</c:v>
                </c:pt>
                <c:pt idx="143">
                  <c:v>31098.240000000005</c:v>
                </c:pt>
                <c:pt idx="144">
                  <c:v>30685.625</c:v>
                </c:pt>
                <c:pt idx="145">
                  <c:v>30259.96</c:v>
                </c:pt>
                <c:pt idx="146">
                  <c:v>29821.154999999999</c:v>
                </c:pt>
                <c:pt idx="147">
                  <c:v>29369.120000000003</c:v>
                </c:pt>
                <c:pt idx="148">
                  <c:v>28903.764999999999</c:v>
                </c:pt>
                <c:pt idx="149">
                  <c:v>28425</c:v>
                </c:pt>
                <c:pt idx="150">
                  <c:v>27932.735000000001</c:v>
                </c:pt>
                <c:pt idx="151">
                  <c:v>27426.880000000005</c:v>
                </c:pt>
                <c:pt idx="152">
                  <c:v>26907.345000000001</c:v>
                </c:pt>
                <c:pt idx="153">
                  <c:v>26374.04</c:v>
                </c:pt>
                <c:pt idx="154">
                  <c:v>25826.875</c:v>
                </c:pt>
                <c:pt idx="155">
                  <c:v>25265.760000000002</c:v>
                </c:pt>
                <c:pt idx="156">
                  <c:v>24690.605000000003</c:v>
                </c:pt>
                <c:pt idx="157">
                  <c:v>24101.32</c:v>
                </c:pt>
                <c:pt idx="158">
                  <c:v>23497.815000000002</c:v>
                </c:pt>
                <c:pt idx="159">
                  <c:v>22880</c:v>
                </c:pt>
                <c:pt idx="160">
                  <c:v>22247.785000000003</c:v>
                </c:pt>
                <c:pt idx="161">
                  <c:v>21601.08</c:v>
                </c:pt>
                <c:pt idx="162">
                  <c:v>20939.795000000006</c:v>
                </c:pt>
                <c:pt idx="163">
                  <c:v>20263.839999999997</c:v>
                </c:pt>
                <c:pt idx="164">
                  <c:v>19573.125</c:v>
                </c:pt>
                <c:pt idx="165">
                  <c:v>18867.559999999998</c:v>
                </c:pt>
                <c:pt idx="166">
                  <c:v>18147.055000000008</c:v>
                </c:pt>
                <c:pt idx="167">
                  <c:v>17411.520000000004</c:v>
                </c:pt>
                <c:pt idx="168">
                  <c:v>16660.865000000005</c:v>
                </c:pt>
                <c:pt idx="169">
                  <c:v>15895</c:v>
                </c:pt>
                <c:pt idx="170">
                  <c:v>15113.835000000006</c:v>
                </c:pt>
                <c:pt idx="171">
                  <c:v>14317.279999999999</c:v>
                </c:pt>
                <c:pt idx="172">
                  <c:v>13505.24500000001</c:v>
                </c:pt>
                <c:pt idx="173">
                  <c:v>12677.64</c:v>
                </c:pt>
                <c:pt idx="174">
                  <c:v>11834.375</c:v>
                </c:pt>
                <c:pt idx="175">
                  <c:v>10975.36</c:v>
                </c:pt>
                <c:pt idx="176">
                  <c:v>10100.505000000005</c:v>
                </c:pt>
                <c:pt idx="177">
                  <c:v>9209.7200000000012</c:v>
                </c:pt>
                <c:pt idx="178">
                  <c:v>8302.9150000000081</c:v>
                </c:pt>
                <c:pt idx="179">
                  <c:v>7380</c:v>
                </c:pt>
                <c:pt idx="180">
                  <c:v>6440.8850000000093</c:v>
                </c:pt>
                <c:pt idx="181">
                  <c:v>5485.4800000000105</c:v>
                </c:pt>
                <c:pt idx="182">
                  <c:v>4513.695000000007</c:v>
                </c:pt>
                <c:pt idx="183">
                  <c:v>3525.4400000000023</c:v>
                </c:pt>
                <c:pt idx="184">
                  <c:v>2520.625</c:v>
                </c:pt>
                <c:pt idx="185">
                  <c:v>1499.1600000000035</c:v>
                </c:pt>
                <c:pt idx="186">
                  <c:v>460.95500000000175</c:v>
                </c:pt>
                <c:pt idx="187">
                  <c:v>-594.08000000000175</c:v>
                </c:pt>
                <c:pt idx="188">
                  <c:v>-1666.0350000000035</c:v>
                </c:pt>
                <c:pt idx="189">
                  <c:v>-2755</c:v>
                </c:pt>
                <c:pt idx="190">
                  <c:v>-3861.0650000000023</c:v>
                </c:pt>
                <c:pt idx="191">
                  <c:v>-4984.3199999999924</c:v>
                </c:pt>
                <c:pt idx="192">
                  <c:v>-6124.8549999999959</c:v>
                </c:pt>
                <c:pt idx="193">
                  <c:v>-7282.7599999999948</c:v>
                </c:pt>
                <c:pt idx="194">
                  <c:v>-8458.125</c:v>
                </c:pt>
                <c:pt idx="195">
                  <c:v>-9651.0399999999936</c:v>
                </c:pt>
                <c:pt idx="196">
                  <c:v>-10861.595000000001</c:v>
                </c:pt>
                <c:pt idx="197">
                  <c:v>-12089.87999999999</c:v>
                </c:pt>
                <c:pt idx="198">
                  <c:v>-13335.985000000001</c:v>
                </c:pt>
                <c:pt idx="199">
                  <c:v>-14600</c:v>
                </c:pt>
                <c:pt idx="200">
                  <c:v>-15882.014999999999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5-4BD1-B18C-E3297879D60A}"/>
            </c:ext>
          </c:extLst>
        </c:ser>
        <c:ser>
          <c:idx val="2"/>
          <c:order val="2"/>
          <c:tx>
            <c:strRef>
              <c:f>'ch.4 problem 12'!$D$1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'ch.4 problem 12'!$A$2:$A$202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'ch.4 problem 12'!$D$2:$D$202</c:f>
              <c:numCache>
                <c:formatCode>General</c:formatCode>
                <c:ptCount val="201"/>
                <c:pt idx="0">
                  <c:v>446.78500000000003</c:v>
                </c:pt>
                <c:pt idx="1">
                  <c:v>956.08000000000015</c:v>
                </c:pt>
                <c:pt idx="2">
                  <c:v>1462.7950000000001</c:v>
                </c:pt>
                <c:pt idx="3">
                  <c:v>1966.84</c:v>
                </c:pt>
                <c:pt idx="4">
                  <c:v>2468.125</c:v>
                </c:pt>
                <c:pt idx="5">
                  <c:v>2966.5600000000004</c:v>
                </c:pt>
                <c:pt idx="6">
                  <c:v>3462.0549999999998</c:v>
                </c:pt>
                <c:pt idx="7">
                  <c:v>3954.5199999999995</c:v>
                </c:pt>
                <c:pt idx="8">
                  <c:v>4443.8649999999998</c:v>
                </c:pt>
                <c:pt idx="9">
                  <c:v>4930</c:v>
                </c:pt>
                <c:pt idx="10">
                  <c:v>5412.835</c:v>
                </c:pt>
                <c:pt idx="11">
                  <c:v>5892.28</c:v>
                </c:pt>
                <c:pt idx="12">
                  <c:v>6368.2449999999999</c:v>
                </c:pt>
                <c:pt idx="13">
                  <c:v>6840.64</c:v>
                </c:pt>
                <c:pt idx="14">
                  <c:v>7309.375</c:v>
                </c:pt>
                <c:pt idx="15">
                  <c:v>7774.36</c:v>
                </c:pt>
                <c:pt idx="16">
                  <c:v>8235.505000000001</c:v>
                </c:pt>
                <c:pt idx="17">
                  <c:v>8692.7200000000012</c:v>
                </c:pt>
                <c:pt idx="18">
                  <c:v>9145.9149999999991</c:v>
                </c:pt>
                <c:pt idx="19">
                  <c:v>9595</c:v>
                </c:pt>
                <c:pt idx="20">
                  <c:v>10039.884999999998</c:v>
                </c:pt>
                <c:pt idx="21">
                  <c:v>10480.480000000001</c:v>
                </c:pt>
                <c:pt idx="22">
                  <c:v>10916.695000000002</c:v>
                </c:pt>
                <c:pt idx="23">
                  <c:v>11348.439999999999</c:v>
                </c:pt>
                <c:pt idx="24">
                  <c:v>11775.625</c:v>
                </c:pt>
                <c:pt idx="25">
                  <c:v>12198.16</c:v>
                </c:pt>
                <c:pt idx="26">
                  <c:v>12615.955</c:v>
                </c:pt>
                <c:pt idx="27">
                  <c:v>13028.92</c:v>
                </c:pt>
                <c:pt idx="28">
                  <c:v>13436.965</c:v>
                </c:pt>
                <c:pt idx="29">
                  <c:v>13840</c:v>
                </c:pt>
                <c:pt idx="30">
                  <c:v>14237.934999999999</c:v>
                </c:pt>
                <c:pt idx="31">
                  <c:v>14630.68</c:v>
                </c:pt>
                <c:pt idx="32">
                  <c:v>15018.145</c:v>
                </c:pt>
                <c:pt idx="33">
                  <c:v>15400.239999999998</c:v>
                </c:pt>
                <c:pt idx="34">
                  <c:v>15776.875</c:v>
                </c:pt>
                <c:pt idx="35">
                  <c:v>16147.96</c:v>
                </c:pt>
                <c:pt idx="36">
                  <c:v>16513.405000000002</c:v>
                </c:pt>
                <c:pt idx="37">
                  <c:v>16873.12</c:v>
                </c:pt>
                <c:pt idx="38">
                  <c:v>17227.014999999999</c:v>
                </c:pt>
                <c:pt idx="39">
                  <c:v>17575</c:v>
                </c:pt>
                <c:pt idx="40">
                  <c:v>17916.985000000001</c:v>
                </c:pt>
                <c:pt idx="41">
                  <c:v>18252.88</c:v>
                </c:pt>
                <c:pt idx="42">
                  <c:v>18582.595000000001</c:v>
                </c:pt>
                <c:pt idx="43">
                  <c:v>18906.04</c:v>
                </c:pt>
                <c:pt idx="44">
                  <c:v>19223.125</c:v>
                </c:pt>
                <c:pt idx="45">
                  <c:v>19533.759999999998</c:v>
                </c:pt>
                <c:pt idx="46">
                  <c:v>19837.855</c:v>
                </c:pt>
                <c:pt idx="47">
                  <c:v>20135.32</c:v>
                </c:pt>
                <c:pt idx="48">
                  <c:v>20426.064999999999</c:v>
                </c:pt>
                <c:pt idx="49">
                  <c:v>20710</c:v>
                </c:pt>
                <c:pt idx="50">
                  <c:v>20987.035</c:v>
                </c:pt>
                <c:pt idx="51">
                  <c:v>21257.08</c:v>
                </c:pt>
                <c:pt idx="52">
                  <c:v>21520.045000000002</c:v>
                </c:pt>
                <c:pt idx="53">
                  <c:v>21775.84</c:v>
                </c:pt>
                <c:pt idx="54">
                  <c:v>22024.375</c:v>
                </c:pt>
                <c:pt idx="55">
                  <c:v>22265.56</c:v>
                </c:pt>
                <c:pt idx="56">
                  <c:v>22499.305</c:v>
                </c:pt>
                <c:pt idx="57">
                  <c:v>22725.52</c:v>
                </c:pt>
                <c:pt idx="58">
                  <c:v>22944.114999999998</c:v>
                </c:pt>
                <c:pt idx="59">
                  <c:v>23155</c:v>
                </c:pt>
                <c:pt idx="60">
                  <c:v>23358.084999999999</c:v>
                </c:pt>
                <c:pt idx="61">
                  <c:v>23553.280000000002</c:v>
                </c:pt>
                <c:pt idx="62">
                  <c:v>23740.494999999999</c:v>
                </c:pt>
                <c:pt idx="63">
                  <c:v>23919.64</c:v>
                </c:pt>
                <c:pt idx="64">
                  <c:v>24090.625</c:v>
                </c:pt>
                <c:pt idx="65">
                  <c:v>24253.360000000001</c:v>
                </c:pt>
                <c:pt idx="66">
                  <c:v>24407.755000000001</c:v>
                </c:pt>
                <c:pt idx="67">
                  <c:v>24553.72</c:v>
                </c:pt>
                <c:pt idx="68">
                  <c:v>24691.164999999997</c:v>
                </c:pt>
                <c:pt idx="69">
                  <c:v>24820</c:v>
                </c:pt>
                <c:pt idx="70">
                  <c:v>24940.134999999998</c:v>
                </c:pt>
                <c:pt idx="71">
                  <c:v>25051.48</c:v>
                </c:pt>
                <c:pt idx="72">
                  <c:v>25153.945</c:v>
                </c:pt>
                <c:pt idx="73">
                  <c:v>25247.439999999999</c:v>
                </c:pt>
                <c:pt idx="74">
                  <c:v>25331.875</c:v>
                </c:pt>
                <c:pt idx="75">
                  <c:v>25407.16</c:v>
                </c:pt>
                <c:pt idx="76">
                  <c:v>25473.204999999998</c:v>
                </c:pt>
                <c:pt idx="77">
                  <c:v>25529.920000000002</c:v>
                </c:pt>
                <c:pt idx="78">
                  <c:v>25577.215</c:v>
                </c:pt>
                <c:pt idx="79">
                  <c:v>25615</c:v>
                </c:pt>
                <c:pt idx="80">
                  <c:v>25643.185000000001</c:v>
                </c:pt>
                <c:pt idx="81">
                  <c:v>25661.679999999997</c:v>
                </c:pt>
                <c:pt idx="82">
                  <c:v>25670.395</c:v>
                </c:pt>
                <c:pt idx="83">
                  <c:v>25669.240000000005</c:v>
                </c:pt>
                <c:pt idx="84">
                  <c:v>25658.125</c:v>
                </c:pt>
                <c:pt idx="85">
                  <c:v>25636.960000000006</c:v>
                </c:pt>
                <c:pt idx="86">
                  <c:v>25605.655000000002</c:v>
                </c:pt>
                <c:pt idx="87">
                  <c:v>25564.12</c:v>
                </c:pt>
                <c:pt idx="88">
                  <c:v>25512.264999999999</c:v>
                </c:pt>
                <c:pt idx="89">
                  <c:v>25450</c:v>
                </c:pt>
                <c:pt idx="90">
                  <c:v>25377.235000000001</c:v>
                </c:pt>
                <c:pt idx="91">
                  <c:v>25293.88</c:v>
                </c:pt>
                <c:pt idx="92">
                  <c:v>25199.845000000005</c:v>
                </c:pt>
                <c:pt idx="93">
                  <c:v>25095.040000000001</c:v>
                </c:pt>
                <c:pt idx="94">
                  <c:v>24979.375</c:v>
                </c:pt>
                <c:pt idx="95">
                  <c:v>24852.760000000002</c:v>
                </c:pt>
                <c:pt idx="96">
                  <c:v>24715.105</c:v>
                </c:pt>
                <c:pt idx="97">
                  <c:v>24566.320000000003</c:v>
                </c:pt>
                <c:pt idx="98">
                  <c:v>24406.315000000002</c:v>
                </c:pt>
                <c:pt idx="99">
                  <c:v>24235</c:v>
                </c:pt>
                <c:pt idx="100">
                  <c:v>24052.285000000003</c:v>
                </c:pt>
                <c:pt idx="101">
                  <c:v>23858.080000000005</c:v>
                </c:pt>
                <c:pt idx="102">
                  <c:v>23652.295000000002</c:v>
                </c:pt>
                <c:pt idx="103">
                  <c:v>23434.840000000004</c:v>
                </c:pt>
                <c:pt idx="104">
                  <c:v>23205.625</c:v>
                </c:pt>
                <c:pt idx="105">
                  <c:v>22964.560000000005</c:v>
                </c:pt>
                <c:pt idx="106">
                  <c:v>22711.554999999997</c:v>
                </c:pt>
                <c:pt idx="107">
                  <c:v>22446.52</c:v>
                </c:pt>
                <c:pt idx="108">
                  <c:v>22169.365000000005</c:v>
                </c:pt>
                <c:pt idx="109">
                  <c:v>21880</c:v>
                </c:pt>
                <c:pt idx="110">
                  <c:v>21578.335000000006</c:v>
                </c:pt>
                <c:pt idx="111">
                  <c:v>21264.280000000002</c:v>
                </c:pt>
                <c:pt idx="112">
                  <c:v>20937.744999999999</c:v>
                </c:pt>
                <c:pt idx="113">
                  <c:v>20598.64</c:v>
                </c:pt>
                <c:pt idx="114">
                  <c:v>20246.875</c:v>
                </c:pt>
                <c:pt idx="115">
                  <c:v>19882.36</c:v>
                </c:pt>
                <c:pt idx="116">
                  <c:v>19505.005000000001</c:v>
                </c:pt>
                <c:pt idx="117">
                  <c:v>19114.720000000005</c:v>
                </c:pt>
                <c:pt idx="118">
                  <c:v>18711.415000000005</c:v>
                </c:pt>
                <c:pt idx="119">
                  <c:v>18295</c:v>
                </c:pt>
                <c:pt idx="120">
                  <c:v>17865.385000000006</c:v>
                </c:pt>
                <c:pt idx="121">
                  <c:v>17422.48</c:v>
                </c:pt>
                <c:pt idx="122">
                  <c:v>16966.195000000003</c:v>
                </c:pt>
                <c:pt idx="123">
                  <c:v>16496.439999999999</c:v>
                </c:pt>
                <c:pt idx="124">
                  <c:v>16013.125</c:v>
                </c:pt>
                <c:pt idx="125">
                  <c:v>15516.16</c:v>
                </c:pt>
                <c:pt idx="126">
                  <c:v>15005.455000000005</c:v>
                </c:pt>
                <c:pt idx="127">
                  <c:v>14480.920000000002</c:v>
                </c:pt>
                <c:pt idx="128">
                  <c:v>13942.465</c:v>
                </c:pt>
                <c:pt idx="129">
                  <c:v>13390</c:v>
                </c:pt>
                <c:pt idx="130">
                  <c:v>12823.435000000001</c:v>
                </c:pt>
                <c:pt idx="131">
                  <c:v>12242.680000000004</c:v>
                </c:pt>
                <c:pt idx="132">
                  <c:v>11647.645</c:v>
                </c:pt>
                <c:pt idx="133">
                  <c:v>11038.240000000002</c:v>
                </c:pt>
                <c:pt idx="134">
                  <c:v>10414.375</c:v>
                </c:pt>
                <c:pt idx="135">
                  <c:v>9775.9600000000028</c:v>
                </c:pt>
                <c:pt idx="136">
                  <c:v>9122.9050000000025</c:v>
                </c:pt>
                <c:pt idx="137">
                  <c:v>8455.119999999999</c:v>
                </c:pt>
                <c:pt idx="138">
                  <c:v>7772.5150000000031</c:v>
                </c:pt>
                <c:pt idx="139">
                  <c:v>7075</c:v>
                </c:pt>
                <c:pt idx="140">
                  <c:v>6362.4850000000042</c:v>
                </c:pt>
                <c:pt idx="141">
                  <c:v>5634.880000000001</c:v>
                </c:pt>
                <c:pt idx="142">
                  <c:v>4892.0950000000048</c:v>
                </c:pt>
                <c:pt idx="143">
                  <c:v>4134.0400000000045</c:v>
                </c:pt>
                <c:pt idx="144">
                  <c:v>3360.625</c:v>
                </c:pt>
                <c:pt idx="145">
                  <c:v>2571.7599999999984</c:v>
                </c:pt>
                <c:pt idx="146">
                  <c:v>1767.3549999999996</c:v>
                </c:pt>
                <c:pt idx="147">
                  <c:v>947.32000000000335</c:v>
                </c:pt>
                <c:pt idx="148">
                  <c:v>111.56499999999869</c:v>
                </c:pt>
                <c:pt idx="149">
                  <c:v>-740</c:v>
                </c:pt>
                <c:pt idx="150">
                  <c:v>-1607.4650000000001</c:v>
                </c:pt>
                <c:pt idx="151">
                  <c:v>-2490.9199999999946</c:v>
                </c:pt>
                <c:pt idx="152">
                  <c:v>-3390.4549999999981</c:v>
                </c:pt>
                <c:pt idx="153">
                  <c:v>-4306.16</c:v>
                </c:pt>
                <c:pt idx="154">
                  <c:v>-5238.125</c:v>
                </c:pt>
                <c:pt idx="155">
                  <c:v>-6186.4399999999987</c:v>
                </c:pt>
                <c:pt idx="156">
                  <c:v>-7151.1949999999961</c:v>
                </c:pt>
                <c:pt idx="157">
                  <c:v>-8132.48</c:v>
                </c:pt>
                <c:pt idx="158">
                  <c:v>-9130.3849999999948</c:v>
                </c:pt>
                <c:pt idx="159">
                  <c:v>-10145</c:v>
                </c:pt>
                <c:pt idx="160">
                  <c:v>-11176.414999999994</c:v>
                </c:pt>
                <c:pt idx="161">
                  <c:v>-12224.720000000001</c:v>
                </c:pt>
                <c:pt idx="162">
                  <c:v>-13290.004999999997</c:v>
                </c:pt>
                <c:pt idx="163">
                  <c:v>-14372.36</c:v>
                </c:pt>
                <c:pt idx="164">
                  <c:v>-15471.875</c:v>
                </c:pt>
                <c:pt idx="165">
                  <c:v>-16588.64</c:v>
                </c:pt>
                <c:pt idx="166">
                  <c:v>-17722.744999999988</c:v>
                </c:pt>
                <c:pt idx="167">
                  <c:v>-18874.279999999992</c:v>
                </c:pt>
                <c:pt idx="168">
                  <c:v>-20043.334999999992</c:v>
                </c:pt>
                <c:pt idx="169">
                  <c:v>-21230</c:v>
                </c:pt>
                <c:pt idx="170">
                  <c:v>-22434.364999999991</c:v>
                </c:pt>
                <c:pt idx="171">
                  <c:v>-23656.519999999997</c:v>
                </c:pt>
                <c:pt idx="172">
                  <c:v>-24896.554999999986</c:v>
                </c:pt>
                <c:pt idx="173">
                  <c:v>-26154.559999999998</c:v>
                </c:pt>
                <c:pt idx="174">
                  <c:v>-27430.625</c:v>
                </c:pt>
                <c:pt idx="175">
                  <c:v>-28724.839999999997</c:v>
                </c:pt>
                <c:pt idx="176">
                  <c:v>-30037.294999999991</c:v>
                </c:pt>
                <c:pt idx="177">
                  <c:v>-31368.079999999994</c:v>
                </c:pt>
                <c:pt idx="178">
                  <c:v>-32717.284999999989</c:v>
                </c:pt>
                <c:pt idx="179">
                  <c:v>-34085</c:v>
                </c:pt>
                <c:pt idx="180">
                  <c:v>-35471.314999999988</c:v>
                </c:pt>
                <c:pt idx="181">
                  <c:v>-36876.319999999985</c:v>
                </c:pt>
                <c:pt idx="182">
                  <c:v>-38300.104999999989</c:v>
                </c:pt>
                <c:pt idx="183">
                  <c:v>-39742.759999999995</c:v>
                </c:pt>
                <c:pt idx="184">
                  <c:v>-41204.375</c:v>
                </c:pt>
                <c:pt idx="185">
                  <c:v>-42685.039999999994</c:v>
                </c:pt>
                <c:pt idx="186">
                  <c:v>-44184.844999999994</c:v>
                </c:pt>
                <c:pt idx="187">
                  <c:v>-45703.88</c:v>
                </c:pt>
                <c:pt idx="188">
                  <c:v>-47242.235000000001</c:v>
                </c:pt>
                <c:pt idx="189">
                  <c:v>-48800</c:v>
                </c:pt>
                <c:pt idx="190">
                  <c:v>-50377.264999999999</c:v>
                </c:pt>
                <c:pt idx="191">
                  <c:v>-51974.119999999988</c:v>
                </c:pt>
                <c:pt idx="192">
                  <c:v>-53590.654999999992</c:v>
                </c:pt>
                <c:pt idx="193">
                  <c:v>-55226.959999999992</c:v>
                </c:pt>
                <c:pt idx="194">
                  <c:v>-56883.125</c:v>
                </c:pt>
                <c:pt idx="195">
                  <c:v>-58559.239999999991</c:v>
                </c:pt>
                <c:pt idx="196">
                  <c:v>-60255.394999999997</c:v>
                </c:pt>
                <c:pt idx="197">
                  <c:v>-61971.679999999986</c:v>
                </c:pt>
                <c:pt idx="198">
                  <c:v>-63708.184999999998</c:v>
                </c:pt>
                <c:pt idx="199">
                  <c:v>-65465</c:v>
                </c:pt>
                <c:pt idx="200">
                  <c:v>-67242.214999999997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5-4BD1-B18C-E3297879D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593888"/>
        <c:axId val="475594368"/>
      </c:lineChart>
      <c:catAx>
        <c:axId val="4755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94368"/>
        <c:crosses val="autoZero"/>
        <c:auto val="1"/>
        <c:lblAlgn val="ctr"/>
        <c:lblOffset val="100"/>
        <c:noMultiLvlLbl val="0"/>
      </c:catAx>
      <c:valAx>
        <c:axId val="4755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185736</xdr:rowOff>
    </xdr:from>
    <xdr:to>
      <xdr:col>14</xdr:col>
      <xdr:colOff>114300</xdr:colOff>
      <xdr:row>18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87F16-03B2-D3E4-DC1B-F98905E26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0</xdr:row>
      <xdr:rowOff>185737</xdr:rowOff>
    </xdr:from>
    <xdr:to>
      <xdr:col>16</xdr:col>
      <xdr:colOff>514349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5A4A48-CCCE-1D6B-F21B-0585EAD2C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</xdr:row>
      <xdr:rowOff>123825</xdr:rowOff>
    </xdr:from>
    <xdr:to>
      <xdr:col>14</xdr:col>
      <xdr:colOff>209550</xdr:colOff>
      <xdr:row>19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B36C2-EB27-2EFE-63A0-345E3B325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42862</xdr:rowOff>
    </xdr:from>
    <xdr:to>
      <xdr:col>11</xdr:col>
      <xdr:colOff>304800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FC86B-F4EE-5FE6-A515-0D34788BF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547687</xdr:colOff>
      <xdr:row>0</xdr:row>
      <xdr:rowOff>119062</xdr:rowOff>
    </xdr:from>
    <xdr:to>
      <xdr:col>19</xdr:col>
      <xdr:colOff>242887</xdr:colOff>
      <xdr:row>14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02541F-89A8-8912-9C27-F7568033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4761</xdr:colOff>
      <xdr:row>0</xdr:row>
      <xdr:rowOff>47625</xdr:rowOff>
    </xdr:from>
    <xdr:to>
      <xdr:col>20</xdr:col>
      <xdr:colOff>28574</xdr:colOff>
      <xdr:row>31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F1761-9D0C-0EE2-6D9B-27F6409CC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7ECA-3C1B-466C-A856-E650C63159E8}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>
        <v>10</v>
      </c>
      <c r="B1">
        <f>A1^2-4*A1+3</f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5E02-62B4-49A3-A116-ACA599E6DB36}">
  <dimension ref="A1:B4"/>
  <sheetViews>
    <sheetView workbookViewId="0">
      <selection activeCell="A5" sqref="A5"/>
    </sheetView>
  </sheetViews>
  <sheetFormatPr defaultRowHeight="15" x14ac:dyDescent="0.25"/>
  <cols>
    <col min="1" max="1" width="11.42578125" customWidth="1"/>
    <col min="2" max="2" width="22" bestFit="1" customWidth="1"/>
  </cols>
  <sheetData>
    <row r="1" spans="1:2" x14ac:dyDescent="0.25">
      <c r="A1">
        <f>100*3/3.2808</f>
        <v>91.441111923920985</v>
      </c>
      <c r="B1" t="s">
        <v>0</v>
      </c>
    </row>
    <row r="2" spans="1:2" x14ac:dyDescent="0.25">
      <c r="A2">
        <f>50*3/3.2808</f>
        <v>45.720555961960493</v>
      </c>
      <c r="B2" t="s">
        <v>1</v>
      </c>
    </row>
    <row r="3" spans="1:2" x14ac:dyDescent="0.25">
      <c r="A3">
        <f>A1*A2</f>
        <v>4180.7384749415223</v>
      </c>
      <c r="B3" t="s">
        <v>2</v>
      </c>
    </row>
    <row r="4" spans="1:2" x14ac:dyDescent="0.25">
      <c r="A4">
        <f>A3*0.22</f>
        <v>919.76246448713493</v>
      </c>
      <c r="B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9734-5CFD-424D-BA8C-AB28F7B4D6E1}">
  <dimension ref="A1:C8"/>
  <sheetViews>
    <sheetView workbookViewId="0">
      <selection activeCell="C9" sqref="C9"/>
    </sheetView>
  </sheetViews>
  <sheetFormatPr defaultRowHeight="15" x14ac:dyDescent="0.25"/>
  <cols>
    <col min="1" max="1" width="29" bestFit="1" customWidth="1"/>
  </cols>
  <sheetData>
    <row r="1" spans="1:3" x14ac:dyDescent="0.25">
      <c r="A1" s="1" t="s">
        <v>4</v>
      </c>
      <c r="B1" s="1"/>
      <c r="C1" s="1"/>
    </row>
    <row r="3" spans="1:3" x14ac:dyDescent="0.25">
      <c r="A3" t="s">
        <v>5</v>
      </c>
      <c r="B3" s="2">
        <v>10000</v>
      </c>
      <c r="C3" s="5">
        <v>10000</v>
      </c>
    </row>
    <row r="4" spans="1:3" x14ac:dyDescent="0.25">
      <c r="A4" t="s">
        <v>6</v>
      </c>
      <c r="B4" s="3">
        <v>7.0000000000000007E-2</v>
      </c>
    </row>
    <row r="5" spans="1:3" x14ac:dyDescent="0.25">
      <c r="A5" t="s">
        <v>7</v>
      </c>
      <c r="B5">
        <v>0.57999999999999996</v>
      </c>
      <c r="C5">
        <f>7%/12</f>
        <v>5.8333333333333336E-3</v>
      </c>
    </row>
    <row r="6" spans="1:3" x14ac:dyDescent="0.25">
      <c r="A6" t="s">
        <v>8</v>
      </c>
      <c r="B6">
        <v>36</v>
      </c>
      <c r="C6">
        <v>26</v>
      </c>
    </row>
    <row r="8" spans="1:3" x14ac:dyDescent="0.25">
      <c r="A8" t="s">
        <v>9</v>
      </c>
      <c r="B8" s="4">
        <v>-308.77</v>
      </c>
      <c r="C8" s="4">
        <f>PMT(C5,C6,-C3)</f>
        <v>415.63760512262513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8E6B-CF99-4E26-BBB5-4A7100D6F555}">
  <dimension ref="A1:B22"/>
  <sheetViews>
    <sheetView workbookViewId="0">
      <selection activeCell="B23" sqref="B23"/>
    </sheetView>
  </sheetViews>
  <sheetFormatPr defaultRowHeight="15" x14ac:dyDescent="0.25"/>
  <sheetData>
    <row r="1" spans="1:2" ht="15.75" x14ac:dyDescent="0.25">
      <c r="A1" s="6" t="s">
        <v>10</v>
      </c>
    </row>
    <row r="3" spans="1:2" ht="15.75" x14ac:dyDescent="0.25">
      <c r="A3" s="6" t="s">
        <v>11</v>
      </c>
      <c r="B3" s="6" t="s">
        <v>12</v>
      </c>
    </row>
    <row r="4" spans="1:2" x14ac:dyDescent="0.25">
      <c r="A4">
        <v>1</v>
      </c>
      <c r="B4">
        <v>78</v>
      </c>
    </row>
    <row r="5" spans="1:2" x14ac:dyDescent="0.25">
      <c r="A5">
        <v>2</v>
      </c>
      <c r="B5">
        <v>88</v>
      </c>
    </row>
    <row r="6" spans="1:2" x14ac:dyDescent="0.25">
      <c r="A6">
        <v>3</v>
      </c>
      <c r="B6">
        <v>98</v>
      </c>
    </row>
    <row r="7" spans="1:2" x14ac:dyDescent="0.25">
      <c r="A7">
        <v>4</v>
      </c>
      <c r="B7">
        <v>88</v>
      </c>
    </row>
    <row r="8" spans="1:2" x14ac:dyDescent="0.25">
      <c r="A8">
        <v>5</v>
      </c>
      <c r="B8">
        <v>100</v>
      </c>
    </row>
    <row r="9" spans="1:2" x14ac:dyDescent="0.25">
      <c r="A9">
        <v>6</v>
      </c>
      <c r="B9">
        <v>95</v>
      </c>
    </row>
    <row r="10" spans="1:2" x14ac:dyDescent="0.25">
      <c r="A10">
        <v>7</v>
      </c>
      <c r="B10">
        <v>82</v>
      </c>
    </row>
    <row r="11" spans="1:2" x14ac:dyDescent="0.25">
      <c r="A11">
        <v>8</v>
      </c>
      <c r="B11">
        <v>96</v>
      </c>
    </row>
    <row r="12" spans="1:2" x14ac:dyDescent="0.25">
      <c r="A12">
        <v>9</v>
      </c>
      <c r="B12">
        <v>82</v>
      </c>
    </row>
    <row r="13" spans="1:2" x14ac:dyDescent="0.25">
      <c r="A13">
        <v>10</v>
      </c>
      <c r="B13">
        <v>98</v>
      </c>
    </row>
    <row r="14" spans="1:2" x14ac:dyDescent="0.25">
      <c r="A14">
        <v>11</v>
      </c>
      <c r="B14">
        <v>84</v>
      </c>
    </row>
    <row r="15" spans="1:2" x14ac:dyDescent="0.25">
      <c r="A15">
        <v>12</v>
      </c>
      <c r="B15">
        <v>64</v>
      </c>
    </row>
    <row r="16" spans="1:2" x14ac:dyDescent="0.25">
      <c r="A16">
        <v>13</v>
      </c>
      <c r="B16">
        <v>82</v>
      </c>
    </row>
    <row r="17" spans="1:2" x14ac:dyDescent="0.25">
      <c r="A17">
        <v>14</v>
      </c>
      <c r="B17">
        <v>77</v>
      </c>
    </row>
    <row r="18" spans="1:2" x14ac:dyDescent="0.25">
      <c r="A18">
        <v>15</v>
      </c>
      <c r="B18">
        <v>92</v>
      </c>
    </row>
    <row r="20" spans="1:2" x14ac:dyDescent="0.25">
      <c r="A20" t="s">
        <v>13</v>
      </c>
      <c r="B20">
        <f>AVERAGE(B4:B18)</f>
        <v>86.933333333333337</v>
      </c>
    </row>
    <row r="21" spans="1:2" x14ac:dyDescent="0.25">
      <c r="A21" t="s">
        <v>14</v>
      </c>
      <c r="B21">
        <f>MEDIAN(B4:B18)</f>
        <v>88</v>
      </c>
    </row>
    <row r="22" spans="1:2" x14ac:dyDescent="0.25">
      <c r="A22" t="s">
        <v>15</v>
      </c>
      <c r="B22">
        <f>MODE(B4:B18)</f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4F3D-7115-4355-B34D-3A7BF481D508}">
  <dimension ref="A1:D17"/>
  <sheetViews>
    <sheetView workbookViewId="0">
      <selection activeCell="B18" sqref="B18"/>
    </sheetView>
  </sheetViews>
  <sheetFormatPr defaultRowHeight="15" x14ac:dyDescent="0.25"/>
  <cols>
    <col min="1" max="1" width="25.85546875" bestFit="1" customWidth="1"/>
  </cols>
  <sheetData>
    <row r="1" spans="1:4" ht="15.75" x14ac:dyDescent="0.25">
      <c r="B1" s="7" t="s">
        <v>16</v>
      </c>
      <c r="C1" s="7"/>
      <c r="D1" s="7"/>
    </row>
    <row r="3" spans="1:4" ht="15.75" x14ac:dyDescent="0.25">
      <c r="B3" s="8" t="s">
        <v>17</v>
      </c>
      <c r="C3" s="8" t="s">
        <v>18</v>
      </c>
    </row>
    <row r="4" spans="1:4" x14ac:dyDescent="0.25">
      <c r="B4">
        <v>28</v>
      </c>
      <c r="C4">
        <v>23</v>
      </c>
    </row>
    <row r="5" spans="1:4" x14ac:dyDescent="0.25">
      <c r="B5">
        <v>28</v>
      </c>
      <c r="C5">
        <v>32</v>
      </c>
    </row>
    <row r="6" spans="1:4" x14ac:dyDescent="0.25">
      <c r="B6">
        <v>28</v>
      </c>
      <c r="C6">
        <v>23</v>
      </c>
    </row>
    <row r="7" spans="1:4" x14ac:dyDescent="0.25">
      <c r="B7">
        <v>25</v>
      </c>
      <c r="C7">
        <v>27</v>
      </c>
    </row>
    <row r="8" spans="1:4" x14ac:dyDescent="0.25">
      <c r="B8">
        <v>26</v>
      </c>
      <c r="C8">
        <v>25</v>
      </c>
    </row>
    <row r="9" spans="1:4" x14ac:dyDescent="0.25">
      <c r="B9">
        <v>26</v>
      </c>
      <c r="C9">
        <v>32</v>
      </c>
    </row>
    <row r="10" spans="1:4" x14ac:dyDescent="0.25">
      <c r="B10">
        <v>26</v>
      </c>
      <c r="C10">
        <v>29</v>
      </c>
    </row>
    <row r="11" spans="1:4" x14ac:dyDescent="0.25">
      <c r="B11">
        <v>28</v>
      </c>
      <c r="C11">
        <v>23</v>
      </c>
    </row>
    <row r="12" spans="1:4" x14ac:dyDescent="0.25">
      <c r="B12">
        <v>29</v>
      </c>
      <c r="C12">
        <v>26</v>
      </c>
    </row>
    <row r="13" spans="1:4" x14ac:dyDescent="0.25">
      <c r="B13">
        <v>28</v>
      </c>
      <c r="C13">
        <v>29</v>
      </c>
    </row>
    <row r="14" spans="1:4" x14ac:dyDescent="0.25">
      <c r="A14" t="s">
        <v>19</v>
      </c>
      <c r="B14">
        <f>AVERAGE(B4:B13)</f>
        <v>27.2</v>
      </c>
    </row>
    <row r="15" spans="1:4" x14ac:dyDescent="0.25">
      <c r="A15" t="s">
        <v>20</v>
      </c>
      <c r="B15">
        <f>AVERAGE(C4:C13)</f>
        <v>26.9</v>
      </c>
    </row>
    <row r="16" spans="1:4" x14ac:dyDescent="0.25">
      <c r="A16" t="s">
        <v>21</v>
      </c>
      <c r="B16">
        <f>_xlfn.STDEV.P(B4:B13)</f>
        <v>1.2489995996796797</v>
      </c>
    </row>
    <row r="17" spans="1:2" x14ac:dyDescent="0.25">
      <c r="A17" t="s">
        <v>22</v>
      </c>
      <c r="B17">
        <f>_xlfn.STDEV.P(C4:C13)</f>
        <v>3.3301651610693423</v>
      </c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D8EC-FC31-47E8-99A8-0A2DC0275111}">
  <dimension ref="A1:B20"/>
  <sheetViews>
    <sheetView workbookViewId="0">
      <selection sqref="A1:B20"/>
    </sheetView>
  </sheetViews>
  <sheetFormatPr defaultRowHeight="15" x14ac:dyDescent="0.25"/>
  <sheetData>
    <row r="1" spans="1:2" x14ac:dyDescent="0.25">
      <c r="A1">
        <f>5</f>
        <v>5</v>
      </c>
      <c r="B1">
        <f>4*SIN(A2)-A2^2</f>
        <v>-16.339879529339612</v>
      </c>
    </row>
    <row r="2" spans="1:2" x14ac:dyDescent="0.25">
      <c r="A2">
        <v>-4.5</v>
      </c>
      <c r="B2">
        <f t="shared" ref="B2:B20" si="0">4*SIN(A3)-A3^2</f>
        <v>-12.972790018768286</v>
      </c>
    </row>
    <row r="3" spans="1:2" x14ac:dyDescent="0.25">
      <c r="A3">
        <v>-4</v>
      </c>
      <c r="B3">
        <f t="shared" si="0"/>
        <v>-28.835697098652552</v>
      </c>
    </row>
    <row r="4" spans="1:2" x14ac:dyDescent="0.25">
      <c r="A4">
        <f>5</f>
        <v>5</v>
      </c>
      <c r="B4">
        <f t="shared" si="0"/>
        <v>-16.339879529339612</v>
      </c>
    </row>
    <row r="5" spans="1:2" x14ac:dyDescent="0.25">
      <c r="A5">
        <v>-4.5</v>
      </c>
      <c r="B5">
        <f t="shared" si="0"/>
        <v>-12.972790018768286</v>
      </c>
    </row>
    <row r="6" spans="1:2" x14ac:dyDescent="0.25">
      <c r="A6">
        <v>-4</v>
      </c>
      <c r="B6">
        <f t="shared" si="0"/>
        <v>-28.835697098652552</v>
      </c>
    </row>
    <row r="7" spans="1:2" x14ac:dyDescent="0.25">
      <c r="A7">
        <f>5</f>
        <v>5</v>
      </c>
      <c r="B7">
        <f t="shared" si="0"/>
        <v>-16.339879529339612</v>
      </c>
    </row>
    <row r="8" spans="1:2" x14ac:dyDescent="0.25">
      <c r="A8">
        <v>-4.5</v>
      </c>
      <c r="B8">
        <f t="shared" si="0"/>
        <v>-12.972790018768286</v>
      </c>
    </row>
    <row r="9" spans="1:2" x14ac:dyDescent="0.25">
      <c r="A9">
        <v>-4</v>
      </c>
      <c r="B9">
        <f t="shared" si="0"/>
        <v>-28.835697098652552</v>
      </c>
    </row>
    <row r="10" spans="1:2" x14ac:dyDescent="0.25">
      <c r="A10">
        <f>5</f>
        <v>5</v>
      </c>
      <c r="B10">
        <f t="shared" si="0"/>
        <v>-16.339879529339612</v>
      </c>
    </row>
    <row r="11" spans="1:2" x14ac:dyDescent="0.25">
      <c r="A11">
        <v>-4.5</v>
      </c>
      <c r="B11">
        <f t="shared" si="0"/>
        <v>-12.972790018768286</v>
      </c>
    </row>
    <row r="12" spans="1:2" x14ac:dyDescent="0.25">
      <c r="A12">
        <v>-4</v>
      </c>
      <c r="B12">
        <f t="shared" si="0"/>
        <v>-28.835697098652552</v>
      </c>
    </row>
    <row r="13" spans="1:2" x14ac:dyDescent="0.25">
      <c r="A13">
        <f>5</f>
        <v>5</v>
      </c>
      <c r="B13">
        <f t="shared" si="0"/>
        <v>-16.339879529339612</v>
      </c>
    </row>
    <row r="14" spans="1:2" x14ac:dyDescent="0.25">
      <c r="A14">
        <v>-4.5</v>
      </c>
      <c r="B14">
        <f t="shared" si="0"/>
        <v>-12.972790018768286</v>
      </c>
    </row>
    <row r="15" spans="1:2" x14ac:dyDescent="0.25">
      <c r="A15">
        <v>-4</v>
      </c>
      <c r="B15">
        <f t="shared" si="0"/>
        <v>-28.835697098652552</v>
      </c>
    </row>
    <row r="16" spans="1:2" x14ac:dyDescent="0.25">
      <c r="A16">
        <f>5</f>
        <v>5</v>
      </c>
      <c r="B16">
        <f t="shared" si="0"/>
        <v>-16.339879529339612</v>
      </c>
    </row>
    <row r="17" spans="1:2" x14ac:dyDescent="0.25">
      <c r="A17">
        <v>-4.5</v>
      </c>
      <c r="B17">
        <f t="shared" si="0"/>
        <v>-12.972790018768286</v>
      </c>
    </row>
    <row r="18" spans="1:2" x14ac:dyDescent="0.25">
      <c r="A18">
        <v>-4</v>
      </c>
      <c r="B18">
        <f t="shared" si="0"/>
        <v>-28.835697098652552</v>
      </c>
    </row>
    <row r="19" spans="1:2" x14ac:dyDescent="0.25">
      <c r="A19">
        <f>5</f>
        <v>5</v>
      </c>
      <c r="B19">
        <f t="shared" si="0"/>
        <v>-16.339879529339612</v>
      </c>
    </row>
    <row r="20" spans="1:2" x14ac:dyDescent="0.25">
      <c r="A20">
        <v>-4.5</v>
      </c>
      <c r="B20">
        <f t="shared" si="0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68D1-114C-40B3-B9B0-05E04D000EC0}">
  <dimension ref="A1:E9"/>
  <sheetViews>
    <sheetView workbookViewId="0">
      <selection activeCell="R17" sqref="R17"/>
    </sheetView>
  </sheetViews>
  <sheetFormatPr defaultRowHeight="15" x14ac:dyDescent="0.25"/>
  <sheetData>
    <row r="1" spans="1:5" ht="15.75" x14ac:dyDescent="0.25">
      <c r="A1" s="9" t="s">
        <v>23</v>
      </c>
      <c r="B1" s="9"/>
      <c r="C1" s="9"/>
      <c r="D1" s="9"/>
      <c r="E1" s="9"/>
    </row>
    <row r="2" spans="1:5" ht="15.75" x14ac:dyDescent="0.25">
      <c r="A2" s="9" t="s">
        <v>24</v>
      </c>
      <c r="B2" s="9"/>
      <c r="C2" s="9"/>
      <c r="D2" s="9"/>
      <c r="E2" s="9"/>
    </row>
    <row r="3" spans="1:5" ht="15.75" x14ac:dyDescent="0.25">
      <c r="A3" s="10" t="s">
        <v>25</v>
      </c>
      <c r="B3" s="10">
        <v>1</v>
      </c>
      <c r="C3" s="10">
        <v>2</v>
      </c>
      <c r="D3" s="10">
        <v>3</v>
      </c>
      <c r="E3" s="10">
        <v>4</v>
      </c>
    </row>
    <row r="4" spans="1:5" x14ac:dyDescent="0.25">
      <c r="A4" s="11">
        <v>1996</v>
      </c>
      <c r="B4" s="11">
        <v>25.3</v>
      </c>
      <c r="C4" s="11">
        <v>12.2</v>
      </c>
      <c r="D4" s="11">
        <v>34.799999999999997</v>
      </c>
      <c r="E4" s="11">
        <v>45.3</v>
      </c>
    </row>
    <row r="5" spans="1:5" x14ac:dyDescent="0.25">
      <c r="A5" s="11">
        <v>1997</v>
      </c>
      <c r="B5" s="11">
        <v>26.3</v>
      </c>
      <c r="C5" s="11">
        <v>14.5</v>
      </c>
      <c r="D5" s="11">
        <v>36.9</v>
      </c>
      <c r="E5" s="11">
        <v>48.7</v>
      </c>
    </row>
    <row r="6" spans="1:5" x14ac:dyDescent="0.25">
      <c r="A6" s="11">
        <v>1998</v>
      </c>
      <c r="B6" s="11">
        <v>28.6</v>
      </c>
      <c r="C6" s="11">
        <v>14.9</v>
      </c>
      <c r="D6" s="11">
        <v>42.6</v>
      </c>
      <c r="E6" s="11">
        <v>43.2</v>
      </c>
    </row>
    <row r="7" spans="1:5" x14ac:dyDescent="0.25">
      <c r="A7" s="11">
        <v>1999</v>
      </c>
      <c r="B7" s="11">
        <v>29</v>
      </c>
      <c r="C7" s="11">
        <v>16.8</v>
      </c>
      <c r="D7" s="11">
        <v>50.6</v>
      </c>
      <c r="E7" s="11">
        <v>46.9</v>
      </c>
    </row>
    <row r="8" spans="1:5" x14ac:dyDescent="0.25">
      <c r="A8" s="11">
        <v>2000</v>
      </c>
      <c r="B8" s="11">
        <v>32.4</v>
      </c>
      <c r="C8" s="11">
        <v>17.600000000000001</v>
      </c>
      <c r="D8" s="11">
        <v>70.8</v>
      </c>
      <c r="E8" s="11">
        <v>54.9</v>
      </c>
    </row>
    <row r="9" spans="1:5" x14ac:dyDescent="0.25">
      <c r="A9" s="11">
        <v>2001</v>
      </c>
      <c r="B9" s="11">
        <v>34.799999999999997</v>
      </c>
      <c r="C9" s="11">
        <v>17.899999999999999</v>
      </c>
      <c r="D9" s="11">
        <v>82.3</v>
      </c>
      <c r="E9" s="11">
        <v>60.9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D5EF-783E-49A1-B961-DA1C270BC1A7}">
  <dimension ref="A1:B29"/>
  <sheetViews>
    <sheetView workbookViewId="0">
      <selection sqref="A1:B29"/>
    </sheetView>
  </sheetViews>
  <sheetFormatPr defaultRowHeight="15" x14ac:dyDescent="0.25"/>
  <sheetData>
    <row r="1" spans="1:2" x14ac:dyDescent="0.25">
      <c r="A1">
        <v>0.1</v>
      </c>
      <c r="B1">
        <f>4*SIN(A2)+12*A2^2-63*LN(A2)+16</f>
        <v>118.66926580652856</v>
      </c>
    </row>
    <row r="2" spans="1:2" x14ac:dyDescent="0.25">
      <c r="A2">
        <v>0.2</v>
      </c>
      <c r="B2">
        <f t="shared" ref="B2:B29" si="0">4*SIN(A3)+12*A3^2-63*LN(A3)+16</f>
        <v>94.112367499179328</v>
      </c>
    </row>
    <row r="3" spans="1:2" x14ac:dyDescent="0.25">
      <c r="A3">
        <v>0.3</v>
      </c>
      <c r="B3">
        <f t="shared" si="0"/>
        <v>77.203989477306365</v>
      </c>
    </row>
    <row r="4" spans="1:2" x14ac:dyDescent="0.25">
      <c r="A4">
        <v>0.4</v>
      </c>
      <c r="B4">
        <f t="shared" si="0"/>
        <v>64.58597452969336</v>
      </c>
    </row>
    <row r="5" spans="1:2" x14ac:dyDescent="0.25">
      <c r="A5">
        <v>0.5</v>
      </c>
      <c r="B5">
        <f t="shared" si="0"/>
        <v>54.760584190837562</v>
      </c>
    </row>
    <row r="6" spans="1:2" x14ac:dyDescent="0.25">
      <c r="A6">
        <v>0.6</v>
      </c>
      <c r="B6">
        <f t="shared" si="0"/>
        <v>46.927392217090912</v>
      </c>
    </row>
    <row r="7" spans="1:2" x14ac:dyDescent="0.25">
      <c r="A7">
        <v>0.7</v>
      </c>
      <c r="B7">
        <f t="shared" si="0"/>
        <v>40.607468096393305</v>
      </c>
    </row>
    <row r="8" spans="1:2" x14ac:dyDescent="0.25">
      <c r="A8">
        <v>0.8</v>
      </c>
      <c r="B8">
        <f t="shared" si="0"/>
        <v>35.491020124952989</v>
      </c>
    </row>
    <row r="9" spans="1:2" x14ac:dyDescent="0.25">
      <c r="A9">
        <v>0.9</v>
      </c>
      <c r="B9">
        <f t="shared" si="0"/>
        <v>31.365883939231587</v>
      </c>
    </row>
    <row r="10" spans="1:2" x14ac:dyDescent="0.25">
      <c r="A10">
        <v>1</v>
      </c>
      <c r="B10">
        <f t="shared" si="0"/>
        <v>25.521898265849764</v>
      </c>
    </row>
    <row r="11" spans="1:2" x14ac:dyDescent="0.25">
      <c r="A11">
        <v>1.2</v>
      </c>
      <c r="B11">
        <f t="shared" si="0"/>
        <v>23.605284080216833</v>
      </c>
    </row>
    <row r="12" spans="1:2" x14ac:dyDescent="0.25">
      <c r="A12">
        <v>1.3</v>
      </c>
      <c r="B12">
        <f t="shared" si="0"/>
        <v>22.264048012817423</v>
      </c>
    </row>
    <row r="13" spans="1:2" x14ac:dyDescent="0.25">
      <c r="A13">
        <v>1.4</v>
      </c>
      <c r="B13">
        <f t="shared" si="0"/>
        <v>21.44567813560186</v>
      </c>
    </row>
    <row r="14" spans="1:2" x14ac:dyDescent="0.25">
      <c r="A14">
        <v>1.5</v>
      </c>
      <c r="B14">
        <f t="shared" si="0"/>
        <v>21.108065769684679</v>
      </c>
    </row>
    <row r="15" spans="1:2" x14ac:dyDescent="0.25">
      <c r="A15">
        <v>1.6</v>
      </c>
      <c r="B15">
        <f t="shared" si="0"/>
        <v>21.217079424893129</v>
      </c>
    </row>
    <row r="16" spans="1:2" x14ac:dyDescent="0.25">
      <c r="A16">
        <v>1.7</v>
      </c>
      <c r="B16">
        <f t="shared" si="0"/>
        <v>21.744830634679282</v>
      </c>
    </row>
    <row r="17" spans="1:2" x14ac:dyDescent="0.25">
      <c r="A17">
        <v>1.8</v>
      </c>
      <c r="B17">
        <f t="shared" si="0"/>
        <v>22.668405521888786</v>
      </c>
    </row>
    <row r="18" spans="1:2" x14ac:dyDescent="0.25">
      <c r="A18">
        <v>1.9</v>
      </c>
      <c r="B18">
        <f t="shared" si="0"/>
        <v>23.968917332026173</v>
      </c>
    </row>
    <row r="19" spans="1:2" x14ac:dyDescent="0.25">
      <c r="A19">
        <v>2</v>
      </c>
      <c r="B19">
        <f t="shared" si="0"/>
        <v>25.630784748644729</v>
      </c>
    </row>
    <row r="20" spans="1:2" x14ac:dyDescent="0.25">
      <c r="A20">
        <v>2.1</v>
      </c>
      <c r="B20">
        <f t="shared" si="0"/>
        <v>27.641171912329341</v>
      </c>
    </row>
    <row r="21" spans="1:2" x14ac:dyDescent="0.25">
      <c r="A21">
        <v>2.2000000000000002</v>
      </c>
      <c r="B21">
        <f t="shared" si="0"/>
        <v>29.989546103795327</v>
      </c>
    </row>
    <row r="22" spans="1:2" x14ac:dyDescent="0.25">
      <c r="A22">
        <v>2.2999999999999998</v>
      </c>
      <c r="B22">
        <f t="shared" si="0"/>
        <v>32.667322268908919</v>
      </c>
    </row>
    <row r="23" spans="1:2" x14ac:dyDescent="0.25">
      <c r="A23">
        <v>2.4</v>
      </c>
      <c r="B23">
        <f t="shared" si="0"/>
        <v>35.667572468344062</v>
      </c>
    </row>
    <row r="24" spans="1:2" x14ac:dyDescent="0.25">
      <c r="A24">
        <v>2.5</v>
      </c>
      <c r="B24">
        <f t="shared" si="0"/>
        <v>38.98478445055737</v>
      </c>
    </row>
    <row r="25" spans="1:2" x14ac:dyDescent="0.25">
      <c r="A25">
        <v>2.6</v>
      </c>
      <c r="B25">
        <f t="shared" si="0"/>
        <v>42.61465782128748</v>
      </c>
    </row>
    <row r="26" spans="1:2" x14ac:dyDescent="0.25">
      <c r="A26">
        <v>2.7</v>
      </c>
      <c r="B26">
        <f t="shared" si="0"/>
        <v>46.553929318210635</v>
      </c>
    </row>
    <row r="27" spans="1:2" x14ac:dyDescent="0.25">
      <c r="A27">
        <v>2.8</v>
      </c>
      <c r="B27">
        <f t="shared" si="0"/>
        <v>50.800220886332951</v>
      </c>
    </row>
    <row r="28" spans="1:2" x14ac:dyDescent="0.25">
      <c r="A28">
        <v>2.9</v>
      </c>
      <c r="B28">
        <f t="shared" si="0"/>
        <v>55.351905846148554</v>
      </c>
    </row>
    <row r="29" spans="1:2" x14ac:dyDescent="0.25">
      <c r="A29">
        <v>3</v>
      </c>
      <c r="B29" t="e">
        <f>4*SIN(A30) + 12*A30^2 - 63*LN(A30) + 16</f>
        <v>#NUM!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D5CE-ECB0-49D2-94C2-D64587A88AC7}">
  <dimension ref="A1:C6"/>
  <sheetViews>
    <sheetView workbookViewId="0">
      <selection activeCell="A2" sqref="A2:C6"/>
    </sheetView>
  </sheetViews>
  <sheetFormatPr defaultRowHeight="15" x14ac:dyDescent="0.25"/>
  <cols>
    <col min="1" max="1" width="10.28515625" bestFit="1" customWidth="1"/>
    <col min="2" max="2" width="14.85546875" bestFit="1" customWidth="1"/>
    <col min="3" max="3" width="15.85546875" bestFit="1" customWidth="1"/>
  </cols>
  <sheetData>
    <row r="1" spans="1:3" ht="15.75" x14ac:dyDescent="0.25">
      <c r="A1" s="6" t="s">
        <v>26</v>
      </c>
      <c r="B1" s="6" t="s">
        <v>27</v>
      </c>
      <c r="C1" s="6" t="s">
        <v>28</v>
      </c>
    </row>
    <row r="2" spans="1:3" x14ac:dyDescent="0.25">
      <c r="A2">
        <v>100</v>
      </c>
      <c r="B2">
        <v>2680</v>
      </c>
      <c r="C2">
        <v>7.4</v>
      </c>
    </row>
    <row r="3" spans="1:3" x14ac:dyDescent="0.25">
      <c r="A3">
        <v>150</v>
      </c>
      <c r="B3">
        <v>2750</v>
      </c>
      <c r="C3">
        <v>6.8</v>
      </c>
    </row>
    <row r="4" spans="1:3" x14ac:dyDescent="0.25">
      <c r="A4">
        <v>200</v>
      </c>
      <c r="B4">
        <v>2790</v>
      </c>
      <c r="C4">
        <v>6.4</v>
      </c>
    </row>
    <row r="5" spans="1:3" x14ac:dyDescent="0.25">
      <c r="A5">
        <v>250</v>
      </c>
      <c r="B5">
        <v>2800</v>
      </c>
      <c r="C5">
        <v>6.1</v>
      </c>
    </row>
    <row r="6" spans="1:3" x14ac:dyDescent="0.25">
      <c r="A6">
        <v>300</v>
      </c>
      <c r="B6">
        <v>2750</v>
      </c>
      <c r="C6">
        <v>5.7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C11D-723D-427D-9ADA-CCDD52594D65}">
  <dimension ref="A1:E206"/>
  <sheetViews>
    <sheetView tabSelected="1" workbookViewId="0">
      <selection activeCell="E3" sqref="E3"/>
    </sheetView>
  </sheetViews>
  <sheetFormatPr defaultRowHeight="15" x14ac:dyDescent="0.25"/>
  <sheetData>
    <row r="1" spans="1:5" ht="15.75" x14ac:dyDescent="0.25">
      <c r="A1" s="11"/>
      <c r="B1" s="10" t="s">
        <v>29</v>
      </c>
      <c r="C1" s="10" t="s">
        <v>30</v>
      </c>
      <c r="D1" s="10" t="s">
        <v>31</v>
      </c>
      <c r="E1" s="6" t="s">
        <v>32</v>
      </c>
    </row>
    <row r="2" spans="1:5" x14ac:dyDescent="0.25">
      <c r="A2" s="11">
        <v>0</v>
      </c>
      <c r="B2" s="11">
        <f>1.2*A3^2 + 14*A3 + 65</f>
        <v>80.2</v>
      </c>
      <c r="C2" s="11">
        <f>527*A3-0.015*A3^3</f>
        <v>526.98500000000001</v>
      </c>
      <c r="D2" s="11">
        <f>C2-B2</f>
        <v>446.78500000000003</v>
      </c>
      <c r="E2">
        <f>MAX(C2:C206)</f>
        <v>38020.32</v>
      </c>
    </row>
    <row r="3" spans="1:5" x14ac:dyDescent="0.25">
      <c r="A3" s="11">
        <v>1</v>
      </c>
      <c r="B3" s="11">
        <f t="shared" ref="B3:B66" si="0">1.2*A4^2 + 14*A4 + 65</f>
        <v>97.8</v>
      </c>
      <c r="C3" s="11">
        <f t="shared" ref="C3:C66" si="1">527*A4-0.015*A4^3</f>
        <v>1053.8800000000001</v>
      </c>
      <c r="D3" s="11">
        <f t="shared" ref="D3:D66" si="2">C3-B3</f>
        <v>956.08000000000015</v>
      </c>
    </row>
    <row r="4" spans="1:5" x14ac:dyDescent="0.25">
      <c r="A4" s="11">
        <v>2</v>
      </c>
      <c r="B4" s="11">
        <f t="shared" si="0"/>
        <v>117.8</v>
      </c>
      <c r="C4" s="11">
        <f t="shared" si="1"/>
        <v>1580.595</v>
      </c>
      <c r="D4" s="11">
        <f t="shared" si="2"/>
        <v>1462.7950000000001</v>
      </c>
    </row>
    <row r="5" spans="1:5" x14ac:dyDescent="0.25">
      <c r="A5" s="11">
        <v>3</v>
      </c>
      <c r="B5" s="11">
        <f t="shared" si="0"/>
        <v>140.19999999999999</v>
      </c>
      <c r="C5" s="11">
        <f t="shared" si="1"/>
        <v>2107.04</v>
      </c>
      <c r="D5" s="11">
        <f t="shared" si="2"/>
        <v>1966.84</v>
      </c>
    </row>
    <row r="6" spans="1:5" x14ac:dyDescent="0.25">
      <c r="A6" s="11">
        <v>4</v>
      </c>
      <c r="B6" s="11">
        <f t="shared" si="0"/>
        <v>165</v>
      </c>
      <c r="C6" s="11">
        <f t="shared" si="1"/>
        <v>2633.125</v>
      </c>
      <c r="D6" s="11">
        <f t="shared" si="2"/>
        <v>2468.125</v>
      </c>
    </row>
    <row r="7" spans="1:5" x14ac:dyDescent="0.25">
      <c r="A7" s="11">
        <v>5</v>
      </c>
      <c r="B7" s="11">
        <f t="shared" si="0"/>
        <v>192.2</v>
      </c>
      <c r="C7" s="11">
        <f t="shared" si="1"/>
        <v>3158.76</v>
      </c>
      <c r="D7" s="11">
        <f t="shared" si="2"/>
        <v>2966.5600000000004</v>
      </c>
    </row>
    <row r="8" spans="1:5" x14ac:dyDescent="0.25">
      <c r="A8" s="11">
        <v>6</v>
      </c>
      <c r="B8" s="11">
        <f t="shared" si="0"/>
        <v>221.8</v>
      </c>
      <c r="C8" s="11">
        <f t="shared" si="1"/>
        <v>3683.855</v>
      </c>
      <c r="D8" s="11">
        <f t="shared" si="2"/>
        <v>3462.0549999999998</v>
      </c>
    </row>
    <row r="9" spans="1:5" x14ac:dyDescent="0.25">
      <c r="A9" s="11">
        <v>7</v>
      </c>
      <c r="B9" s="11">
        <f t="shared" si="0"/>
        <v>253.8</v>
      </c>
      <c r="C9" s="11">
        <f t="shared" si="1"/>
        <v>4208.32</v>
      </c>
      <c r="D9" s="11">
        <f t="shared" si="2"/>
        <v>3954.5199999999995</v>
      </c>
    </row>
    <row r="10" spans="1:5" x14ac:dyDescent="0.25">
      <c r="A10" s="11">
        <v>8</v>
      </c>
      <c r="B10" s="11">
        <f t="shared" si="0"/>
        <v>288.2</v>
      </c>
      <c r="C10" s="11">
        <f t="shared" si="1"/>
        <v>4732.0649999999996</v>
      </c>
      <c r="D10" s="11">
        <f t="shared" si="2"/>
        <v>4443.8649999999998</v>
      </c>
    </row>
    <row r="11" spans="1:5" x14ac:dyDescent="0.25">
      <c r="A11" s="11">
        <v>9</v>
      </c>
      <c r="B11" s="11">
        <f t="shared" si="0"/>
        <v>325</v>
      </c>
      <c r="C11" s="11">
        <f t="shared" si="1"/>
        <v>5255</v>
      </c>
      <c r="D11" s="11">
        <f t="shared" si="2"/>
        <v>4930</v>
      </c>
    </row>
    <row r="12" spans="1:5" x14ac:dyDescent="0.25">
      <c r="A12" s="11">
        <v>10</v>
      </c>
      <c r="B12" s="11">
        <f t="shared" si="0"/>
        <v>364.2</v>
      </c>
      <c r="C12" s="11">
        <f t="shared" si="1"/>
        <v>5777.0349999999999</v>
      </c>
      <c r="D12" s="11">
        <f t="shared" si="2"/>
        <v>5412.835</v>
      </c>
    </row>
    <row r="13" spans="1:5" x14ac:dyDescent="0.25">
      <c r="A13" s="11">
        <v>11</v>
      </c>
      <c r="B13" s="11">
        <f t="shared" si="0"/>
        <v>405.79999999999995</v>
      </c>
      <c r="C13" s="11">
        <f t="shared" si="1"/>
        <v>6298.08</v>
      </c>
      <c r="D13" s="11">
        <f t="shared" si="2"/>
        <v>5892.28</v>
      </c>
    </row>
    <row r="14" spans="1:5" x14ac:dyDescent="0.25">
      <c r="A14" s="11">
        <v>12</v>
      </c>
      <c r="B14" s="11">
        <f t="shared" si="0"/>
        <v>449.79999999999995</v>
      </c>
      <c r="C14" s="11">
        <f t="shared" si="1"/>
        <v>6818.0450000000001</v>
      </c>
      <c r="D14" s="11">
        <f t="shared" si="2"/>
        <v>6368.2449999999999</v>
      </c>
    </row>
    <row r="15" spans="1:5" x14ac:dyDescent="0.25">
      <c r="A15" s="11">
        <v>13</v>
      </c>
      <c r="B15" s="11">
        <f t="shared" si="0"/>
        <v>496.2</v>
      </c>
      <c r="C15" s="11">
        <f t="shared" si="1"/>
        <v>7336.84</v>
      </c>
      <c r="D15" s="11">
        <f t="shared" si="2"/>
        <v>6840.64</v>
      </c>
    </row>
    <row r="16" spans="1:5" x14ac:dyDescent="0.25">
      <c r="A16" s="11">
        <v>14</v>
      </c>
      <c r="B16" s="11">
        <f t="shared" si="0"/>
        <v>545</v>
      </c>
      <c r="C16" s="11">
        <f t="shared" si="1"/>
        <v>7854.375</v>
      </c>
      <c r="D16" s="11">
        <f t="shared" si="2"/>
        <v>7309.375</v>
      </c>
    </row>
    <row r="17" spans="1:4" x14ac:dyDescent="0.25">
      <c r="A17" s="11">
        <v>15</v>
      </c>
      <c r="B17" s="11">
        <f t="shared" si="0"/>
        <v>596.20000000000005</v>
      </c>
      <c r="C17" s="11">
        <f t="shared" si="1"/>
        <v>8370.56</v>
      </c>
      <c r="D17" s="11">
        <f t="shared" si="2"/>
        <v>7774.36</v>
      </c>
    </row>
    <row r="18" spans="1:4" x14ac:dyDescent="0.25">
      <c r="A18" s="11">
        <v>16</v>
      </c>
      <c r="B18" s="11">
        <f t="shared" si="0"/>
        <v>649.79999999999995</v>
      </c>
      <c r="C18" s="11">
        <f t="shared" si="1"/>
        <v>8885.3050000000003</v>
      </c>
      <c r="D18" s="11">
        <f t="shared" si="2"/>
        <v>8235.505000000001</v>
      </c>
    </row>
    <row r="19" spans="1:4" x14ac:dyDescent="0.25">
      <c r="A19" s="11">
        <v>17</v>
      </c>
      <c r="B19" s="11">
        <f t="shared" si="0"/>
        <v>705.8</v>
      </c>
      <c r="C19" s="11">
        <f t="shared" si="1"/>
        <v>9398.52</v>
      </c>
      <c r="D19" s="11">
        <f t="shared" si="2"/>
        <v>8692.7200000000012</v>
      </c>
    </row>
    <row r="20" spans="1:4" x14ac:dyDescent="0.25">
      <c r="A20" s="11">
        <v>18</v>
      </c>
      <c r="B20" s="11">
        <f t="shared" si="0"/>
        <v>764.2</v>
      </c>
      <c r="C20" s="11">
        <f t="shared" si="1"/>
        <v>9910.1149999999998</v>
      </c>
      <c r="D20" s="11">
        <f t="shared" si="2"/>
        <v>9145.9149999999991</v>
      </c>
    </row>
    <row r="21" spans="1:4" x14ac:dyDescent="0.25">
      <c r="A21" s="11">
        <v>19</v>
      </c>
      <c r="B21" s="11">
        <f t="shared" si="0"/>
        <v>825</v>
      </c>
      <c r="C21" s="11">
        <f t="shared" si="1"/>
        <v>10420</v>
      </c>
      <c r="D21" s="11">
        <f t="shared" si="2"/>
        <v>9595</v>
      </c>
    </row>
    <row r="22" spans="1:4" x14ac:dyDescent="0.25">
      <c r="A22" s="11">
        <v>20</v>
      </c>
      <c r="B22" s="11">
        <f t="shared" si="0"/>
        <v>888.19999999999993</v>
      </c>
      <c r="C22" s="11">
        <f t="shared" si="1"/>
        <v>10928.084999999999</v>
      </c>
      <c r="D22" s="11">
        <f t="shared" si="2"/>
        <v>10039.884999999998</v>
      </c>
    </row>
    <row r="23" spans="1:4" x14ac:dyDescent="0.25">
      <c r="A23" s="11">
        <v>21</v>
      </c>
      <c r="B23" s="11">
        <f t="shared" si="0"/>
        <v>953.8</v>
      </c>
      <c r="C23" s="11">
        <f t="shared" si="1"/>
        <v>11434.28</v>
      </c>
      <c r="D23" s="11">
        <f t="shared" si="2"/>
        <v>10480.480000000001</v>
      </c>
    </row>
    <row r="24" spans="1:4" x14ac:dyDescent="0.25">
      <c r="A24" s="11">
        <v>22</v>
      </c>
      <c r="B24" s="11">
        <f t="shared" si="0"/>
        <v>1021.8</v>
      </c>
      <c r="C24" s="11">
        <f t="shared" si="1"/>
        <v>11938.495000000001</v>
      </c>
      <c r="D24" s="11">
        <f t="shared" si="2"/>
        <v>10916.695000000002</v>
      </c>
    </row>
    <row r="25" spans="1:4" x14ac:dyDescent="0.25">
      <c r="A25" s="11">
        <v>23</v>
      </c>
      <c r="B25" s="11">
        <f t="shared" si="0"/>
        <v>1092.1999999999998</v>
      </c>
      <c r="C25" s="11">
        <f t="shared" si="1"/>
        <v>12440.64</v>
      </c>
      <c r="D25" s="11">
        <f t="shared" si="2"/>
        <v>11348.439999999999</v>
      </c>
    </row>
    <row r="26" spans="1:4" x14ac:dyDescent="0.25">
      <c r="A26" s="11">
        <v>24</v>
      </c>
      <c r="B26" s="11">
        <f t="shared" si="0"/>
        <v>1165</v>
      </c>
      <c r="C26" s="11">
        <f t="shared" si="1"/>
        <v>12940.625</v>
      </c>
      <c r="D26" s="11">
        <f t="shared" si="2"/>
        <v>11775.625</v>
      </c>
    </row>
    <row r="27" spans="1:4" x14ac:dyDescent="0.25">
      <c r="A27" s="11">
        <v>25</v>
      </c>
      <c r="B27" s="11">
        <f t="shared" si="0"/>
        <v>1240.1999999999998</v>
      </c>
      <c r="C27" s="11">
        <f t="shared" si="1"/>
        <v>13438.36</v>
      </c>
      <c r="D27" s="11">
        <f t="shared" si="2"/>
        <v>12198.16</v>
      </c>
    </row>
    <row r="28" spans="1:4" x14ac:dyDescent="0.25">
      <c r="A28" s="11">
        <v>26</v>
      </c>
      <c r="B28" s="11">
        <f t="shared" si="0"/>
        <v>1317.8</v>
      </c>
      <c r="C28" s="11">
        <f t="shared" si="1"/>
        <v>13933.754999999999</v>
      </c>
      <c r="D28" s="11">
        <f t="shared" si="2"/>
        <v>12615.955</v>
      </c>
    </row>
    <row r="29" spans="1:4" x14ac:dyDescent="0.25">
      <c r="A29" s="11">
        <v>27</v>
      </c>
      <c r="B29" s="11">
        <f t="shared" si="0"/>
        <v>1397.8</v>
      </c>
      <c r="C29" s="11">
        <f t="shared" si="1"/>
        <v>14426.72</v>
      </c>
      <c r="D29" s="11">
        <f t="shared" si="2"/>
        <v>13028.92</v>
      </c>
    </row>
    <row r="30" spans="1:4" x14ac:dyDescent="0.25">
      <c r="A30" s="11">
        <v>28</v>
      </c>
      <c r="B30" s="11">
        <f t="shared" si="0"/>
        <v>1480.1999999999998</v>
      </c>
      <c r="C30" s="11">
        <f t="shared" si="1"/>
        <v>14917.165000000001</v>
      </c>
      <c r="D30" s="11">
        <f t="shared" si="2"/>
        <v>13436.965</v>
      </c>
    </row>
    <row r="31" spans="1:4" x14ac:dyDescent="0.25">
      <c r="A31" s="11">
        <v>29</v>
      </c>
      <c r="B31" s="11">
        <f t="shared" si="0"/>
        <v>1565</v>
      </c>
      <c r="C31" s="11">
        <f t="shared" si="1"/>
        <v>15405</v>
      </c>
      <c r="D31" s="11">
        <f t="shared" si="2"/>
        <v>13840</v>
      </c>
    </row>
    <row r="32" spans="1:4" x14ac:dyDescent="0.25">
      <c r="A32" s="11">
        <v>30</v>
      </c>
      <c r="B32" s="11">
        <f t="shared" si="0"/>
        <v>1652.2</v>
      </c>
      <c r="C32" s="11">
        <f t="shared" si="1"/>
        <v>15890.135</v>
      </c>
      <c r="D32" s="11">
        <f t="shared" si="2"/>
        <v>14237.934999999999</v>
      </c>
    </row>
    <row r="33" spans="1:4" x14ac:dyDescent="0.25">
      <c r="A33" s="11">
        <v>31</v>
      </c>
      <c r="B33" s="11">
        <f t="shared" si="0"/>
        <v>1741.8</v>
      </c>
      <c r="C33" s="11">
        <f t="shared" si="1"/>
        <v>16372.48</v>
      </c>
      <c r="D33" s="11">
        <f t="shared" si="2"/>
        <v>14630.68</v>
      </c>
    </row>
    <row r="34" spans="1:4" x14ac:dyDescent="0.25">
      <c r="A34" s="11">
        <v>32</v>
      </c>
      <c r="B34" s="11">
        <f t="shared" si="0"/>
        <v>1833.8</v>
      </c>
      <c r="C34" s="11">
        <f t="shared" si="1"/>
        <v>16851.945</v>
      </c>
      <c r="D34" s="11">
        <f t="shared" si="2"/>
        <v>15018.145</v>
      </c>
    </row>
    <row r="35" spans="1:4" x14ac:dyDescent="0.25">
      <c r="A35" s="11">
        <v>33</v>
      </c>
      <c r="B35" s="11">
        <f t="shared" si="0"/>
        <v>1928.2</v>
      </c>
      <c r="C35" s="11">
        <f t="shared" si="1"/>
        <v>17328.439999999999</v>
      </c>
      <c r="D35" s="11">
        <f t="shared" si="2"/>
        <v>15400.239999999998</v>
      </c>
    </row>
    <row r="36" spans="1:4" x14ac:dyDescent="0.25">
      <c r="A36" s="11">
        <v>34</v>
      </c>
      <c r="B36" s="11">
        <f t="shared" si="0"/>
        <v>2025</v>
      </c>
      <c r="C36" s="11">
        <f t="shared" si="1"/>
        <v>17801.875</v>
      </c>
      <c r="D36" s="11">
        <f t="shared" si="2"/>
        <v>15776.875</v>
      </c>
    </row>
    <row r="37" spans="1:4" x14ac:dyDescent="0.25">
      <c r="A37" s="11">
        <v>35</v>
      </c>
      <c r="B37" s="11">
        <f t="shared" si="0"/>
        <v>2124.1999999999998</v>
      </c>
      <c r="C37" s="11">
        <f t="shared" si="1"/>
        <v>18272.16</v>
      </c>
      <c r="D37" s="11">
        <f t="shared" si="2"/>
        <v>16147.96</v>
      </c>
    </row>
    <row r="38" spans="1:4" x14ac:dyDescent="0.25">
      <c r="A38" s="11">
        <v>36</v>
      </c>
      <c r="B38" s="11">
        <f t="shared" si="0"/>
        <v>2225.8000000000002</v>
      </c>
      <c r="C38" s="11">
        <f t="shared" si="1"/>
        <v>18739.205000000002</v>
      </c>
      <c r="D38" s="11">
        <f t="shared" si="2"/>
        <v>16513.405000000002</v>
      </c>
    </row>
    <row r="39" spans="1:4" x14ac:dyDescent="0.25">
      <c r="A39" s="11">
        <v>37</v>
      </c>
      <c r="B39" s="11">
        <f t="shared" si="0"/>
        <v>2329.8000000000002</v>
      </c>
      <c r="C39" s="11">
        <f t="shared" si="1"/>
        <v>19202.919999999998</v>
      </c>
      <c r="D39" s="11">
        <f t="shared" si="2"/>
        <v>16873.12</v>
      </c>
    </row>
    <row r="40" spans="1:4" x14ac:dyDescent="0.25">
      <c r="A40" s="11">
        <v>38</v>
      </c>
      <c r="B40" s="11">
        <f t="shared" si="0"/>
        <v>2436.1999999999998</v>
      </c>
      <c r="C40" s="11">
        <f t="shared" si="1"/>
        <v>19663.215</v>
      </c>
      <c r="D40" s="11">
        <f t="shared" si="2"/>
        <v>17227.014999999999</v>
      </c>
    </row>
    <row r="41" spans="1:4" x14ac:dyDescent="0.25">
      <c r="A41" s="11">
        <v>39</v>
      </c>
      <c r="B41" s="11">
        <f t="shared" si="0"/>
        <v>2545</v>
      </c>
      <c r="C41" s="11">
        <f t="shared" si="1"/>
        <v>20120</v>
      </c>
      <c r="D41" s="11">
        <f t="shared" si="2"/>
        <v>17575</v>
      </c>
    </row>
    <row r="42" spans="1:4" x14ac:dyDescent="0.25">
      <c r="A42" s="11">
        <v>40</v>
      </c>
      <c r="B42" s="11">
        <f t="shared" si="0"/>
        <v>2656.2</v>
      </c>
      <c r="C42" s="11">
        <f t="shared" si="1"/>
        <v>20573.185000000001</v>
      </c>
      <c r="D42" s="11">
        <f t="shared" si="2"/>
        <v>17916.985000000001</v>
      </c>
    </row>
    <row r="43" spans="1:4" x14ac:dyDescent="0.25">
      <c r="A43" s="11">
        <v>41</v>
      </c>
      <c r="B43" s="11">
        <f t="shared" si="0"/>
        <v>2769.7999999999997</v>
      </c>
      <c r="C43" s="11">
        <f t="shared" si="1"/>
        <v>21022.68</v>
      </c>
      <c r="D43" s="11">
        <f t="shared" si="2"/>
        <v>18252.88</v>
      </c>
    </row>
    <row r="44" spans="1:4" x14ac:dyDescent="0.25">
      <c r="A44" s="11">
        <v>42</v>
      </c>
      <c r="B44" s="11">
        <f t="shared" si="0"/>
        <v>2885.7999999999997</v>
      </c>
      <c r="C44" s="11">
        <f t="shared" si="1"/>
        <v>21468.395</v>
      </c>
      <c r="D44" s="11">
        <f t="shared" si="2"/>
        <v>18582.595000000001</v>
      </c>
    </row>
    <row r="45" spans="1:4" x14ac:dyDescent="0.25">
      <c r="A45" s="11">
        <v>43</v>
      </c>
      <c r="B45" s="11">
        <f t="shared" si="0"/>
        <v>3004.2</v>
      </c>
      <c r="C45" s="11">
        <f t="shared" si="1"/>
        <v>21910.240000000002</v>
      </c>
      <c r="D45" s="11">
        <f t="shared" si="2"/>
        <v>18906.04</v>
      </c>
    </row>
    <row r="46" spans="1:4" x14ac:dyDescent="0.25">
      <c r="A46" s="11">
        <v>44</v>
      </c>
      <c r="B46" s="11">
        <f t="shared" si="0"/>
        <v>3125</v>
      </c>
      <c r="C46" s="11">
        <f t="shared" si="1"/>
        <v>22348.125</v>
      </c>
      <c r="D46" s="11">
        <f t="shared" si="2"/>
        <v>19223.125</v>
      </c>
    </row>
    <row r="47" spans="1:4" x14ac:dyDescent="0.25">
      <c r="A47" s="11">
        <v>45</v>
      </c>
      <c r="B47" s="11">
        <f t="shared" si="0"/>
        <v>3248.2</v>
      </c>
      <c r="C47" s="11">
        <f t="shared" si="1"/>
        <v>22781.96</v>
      </c>
      <c r="D47" s="11">
        <f t="shared" si="2"/>
        <v>19533.759999999998</v>
      </c>
    </row>
    <row r="48" spans="1:4" x14ac:dyDescent="0.25">
      <c r="A48" s="11">
        <v>46</v>
      </c>
      <c r="B48" s="11">
        <f t="shared" si="0"/>
        <v>3373.7999999999997</v>
      </c>
      <c r="C48" s="11">
        <f t="shared" si="1"/>
        <v>23211.654999999999</v>
      </c>
      <c r="D48" s="11">
        <f t="shared" si="2"/>
        <v>19837.855</v>
      </c>
    </row>
    <row r="49" spans="1:4" x14ac:dyDescent="0.25">
      <c r="A49" s="11">
        <v>47</v>
      </c>
      <c r="B49" s="11">
        <f t="shared" si="0"/>
        <v>3501.7999999999997</v>
      </c>
      <c r="C49" s="11">
        <f t="shared" si="1"/>
        <v>23637.119999999999</v>
      </c>
      <c r="D49" s="11">
        <f t="shared" si="2"/>
        <v>20135.32</v>
      </c>
    </row>
    <row r="50" spans="1:4" x14ac:dyDescent="0.25">
      <c r="A50" s="11">
        <v>48</v>
      </c>
      <c r="B50" s="11">
        <f t="shared" si="0"/>
        <v>3632.2</v>
      </c>
      <c r="C50" s="11">
        <f t="shared" si="1"/>
        <v>24058.264999999999</v>
      </c>
      <c r="D50" s="11">
        <f t="shared" si="2"/>
        <v>20426.064999999999</v>
      </c>
    </row>
    <row r="51" spans="1:4" x14ac:dyDescent="0.25">
      <c r="A51" s="11">
        <v>49</v>
      </c>
      <c r="B51" s="11">
        <f t="shared" si="0"/>
        <v>3765</v>
      </c>
      <c r="C51" s="11">
        <f t="shared" si="1"/>
        <v>24475</v>
      </c>
      <c r="D51" s="11">
        <f t="shared" si="2"/>
        <v>20710</v>
      </c>
    </row>
    <row r="52" spans="1:4" x14ac:dyDescent="0.25">
      <c r="A52" s="11">
        <v>50</v>
      </c>
      <c r="B52" s="11">
        <f t="shared" si="0"/>
        <v>3900.2</v>
      </c>
      <c r="C52" s="11">
        <f t="shared" si="1"/>
        <v>24887.235000000001</v>
      </c>
      <c r="D52" s="11">
        <f t="shared" si="2"/>
        <v>20987.035</v>
      </c>
    </row>
    <row r="53" spans="1:4" x14ac:dyDescent="0.25">
      <c r="A53" s="11">
        <v>51</v>
      </c>
      <c r="B53" s="11">
        <f t="shared" si="0"/>
        <v>4037.7999999999997</v>
      </c>
      <c r="C53" s="11">
        <f t="shared" si="1"/>
        <v>25294.880000000001</v>
      </c>
      <c r="D53" s="11">
        <f t="shared" si="2"/>
        <v>21257.08</v>
      </c>
    </row>
    <row r="54" spans="1:4" x14ac:dyDescent="0.25">
      <c r="A54" s="11">
        <v>52</v>
      </c>
      <c r="B54" s="11">
        <f t="shared" si="0"/>
        <v>4177.7999999999993</v>
      </c>
      <c r="C54" s="11">
        <f t="shared" si="1"/>
        <v>25697.845000000001</v>
      </c>
      <c r="D54" s="11">
        <f t="shared" si="2"/>
        <v>21520.045000000002</v>
      </c>
    </row>
    <row r="55" spans="1:4" x14ac:dyDescent="0.25">
      <c r="A55" s="11">
        <v>53</v>
      </c>
      <c r="B55" s="11">
        <f t="shared" si="0"/>
        <v>4320.2</v>
      </c>
      <c r="C55" s="11">
        <f t="shared" si="1"/>
        <v>26096.04</v>
      </c>
      <c r="D55" s="11">
        <f t="shared" si="2"/>
        <v>21775.84</v>
      </c>
    </row>
    <row r="56" spans="1:4" x14ac:dyDescent="0.25">
      <c r="A56" s="11">
        <v>54</v>
      </c>
      <c r="B56" s="11">
        <f t="shared" si="0"/>
        <v>4465</v>
      </c>
      <c r="C56" s="11">
        <f t="shared" si="1"/>
        <v>26489.375</v>
      </c>
      <c r="D56" s="11">
        <f t="shared" si="2"/>
        <v>22024.375</v>
      </c>
    </row>
    <row r="57" spans="1:4" x14ac:dyDescent="0.25">
      <c r="A57" s="11">
        <v>55</v>
      </c>
      <c r="B57" s="11">
        <f t="shared" si="0"/>
        <v>4612.2</v>
      </c>
      <c r="C57" s="11">
        <f t="shared" si="1"/>
        <v>26877.760000000002</v>
      </c>
      <c r="D57" s="11">
        <f t="shared" si="2"/>
        <v>22265.56</v>
      </c>
    </row>
    <row r="58" spans="1:4" x14ac:dyDescent="0.25">
      <c r="A58" s="11">
        <v>56</v>
      </c>
      <c r="B58" s="11">
        <f t="shared" si="0"/>
        <v>4761.7999999999993</v>
      </c>
      <c r="C58" s="11">
        <f t="shared" si="1"/>
        <v>27261.105</v>
      </c>
      <c r="D58" s="11">
        <f t="shared" si="2"/>
        <v>22499.305</v>
      </c>
    </row>
    <row r="59" spans="1:4" x14ac:dyDescent="0.25">
      <c r="A59" s="11">
        <v>57</v>
      </c>
      <c r="B59" s="11">
        <f t="shared" si="0"/>
        <v>4913.7999999999993</v>
      </c>
      <c r="C59" s="11">
        <f t="shared" si="1"/>
        <v>27639.32</v>
      </c>
      <c r="D59" s="11">
        <f t="shared" si="2"/>
        <v>22725.52</v>
      </c>
    </row>
    <row r="60" spans="1:4" x14ac:dyDescent="0.25">
      <c r="A60" s="11">
        <v>58</v>
      </c>
      <c r="B60" s="11">
        <f t="shared" si="0"/>
        <v>5068.2</v>
      </c>
      <c r="C60" s="11">
        <f t="shared" si="1"/>
        <v>28012.314999999999</v>
      </c>
      <c r="D60" s="11">
        <f t="shared" si="2"/>
        <v>22944.114999999998</v>
      </c>
    </row>
    <row r="61" spans="1:4" x14ac:dyDescent="0.25">
      <c r="A61" s="11">
        <v>59</v>
      </c>
      <c r="B61" s="11">
        <f t="shared" si="0"/>
        <v>5225</v>
      </c>
      <c r="C61" s="11">
        <f t="shared" si="1"/>
        <v>28380</v>
      </c>
      <c r="D61" s="11">
        <f t="shared" si="2"/>
        <v>23155</v>
      </c>
    </row>
    <row r="62" spans="1:4" x14ac:dyDescent="0.25">
      <c r="A62" s="11">
        <v>60</v>
      </c>
      <c r="B62" s="11">
        <f t="shared" si="0"/>
        <v>5384.2</v>
      </c>
      <c r="C62" s="11">
        <f t="shared" si="1"/>
        <v>28742.285</v>
      </c>
      <c r="D62" s="11">
        <f t="shared" si="2"/>
        <v>23358.084999999999</v>
      </c>
    </row>
    <row r="63" spans="1:4" x14ac:dyDescent="0.25">
      <c r="A63" s="11">
        <v>61</v>
      </c>
      <c r="B63" s="11">
        <f t="shared" si="0"/>
        <v>5545.8</v>
      </c>
      <c r="C63" s="11">
        <f t="shared" si="1"/>
        <v>29099.08</v>
      </c>
      <c r="D63" s="11">
        <f t="shared" si="2"/>
        <v>23553.280000000002</v>
      </c>
    </row>
    <row r="64" spans="1:4" x14ac:dyDescent="0.25">
      <c r="A64" s="11">
        <v>62</v>
      </c>
      <c r="B64" s="11">
        <f t="shared" si="0"/>
        <v>5709.8</v>
      </c>
      <c r="C64" s="11">
        <f t="shared" si="1"/>
        <v>29450.294999999998</v>
      </c>
      <c r="D64" s="11">
        <f t="shared" si="2"/>
        <v>23740.494999999999</v>
      </c>
    </row>
    <row r="65" spans="1:4" x14ac:dyDescent="0.25">
      <c r="A65" s="11">
        <v>63</v>
      </c>
      <c r="B65" s="11">
        <f t="shared" si="0"/>
        <v>5876.2</v>
      </c>
      <c r="C65" s="11">
        <f t="shared" si="1"/>
        <v>29795.84</v>
      </c>
      <c r="D65" s="11">
        <f t="shared" si="2"/>
        <v>23919.64</v>
      </c>
    </row>
    <row r="66" spans="1:4" x14ac:dyDescent="0.25">
      <c r="A66" s="11">
        <v>64</v>
      </c>
      <c r="B66" s="11">
        <f t="shared" si="0"/>
        <v>6045</v>
      </c>
      <c r="C66" s="11">
        <f t="shared" si="1"/>
        <v>30135.625</v>
      </c>
      <c r="D66" s="11">
        <f t="shared" si="2"/>
        <v>24090.625</v>
      </c>
    </row>
    <row r="67" spans="1:4" x14ac:dyDescent="0.25">
      <c r="A67" s="11">
        <v>65</v>
      </c>
      <c r="B67" s="11">
        <f t="shared" ref="B67:B130" si="3">1.2*A68^2 + 14*A68 + 65</f>
        <v>6216.2</v>
      </c>
      <c r="C67" s="11">
        <f t="shared" ref="C67:C130" si="4">527*A68-0.015*A68^3</f>
        <v>30469.56</v>
      </c>
      <c r="D67" s="11">
        <f t="shared" ref="D67:D130" si="5">C67-B67</f>
        <v>24253.360000000001</v>
      </c>
    </row>
    <row r="68" spans="1:4" x14ac:dyDescent="0.25">
      <c r="A68" s="11">
        <v>66</v>
      </c>
      <c r="B68" s="11">
        <f t="shared" si="3"/>
        <v>6389.8</v>
      </c>
      <c r="C68" s="11">
        <f t="shared" si="4"/>
        <v>30797.555</v>
      </c>
      <c r="D68" s="11">
        <f t="shared" si="5"/>
        <v>24407.755000000001</v>
      </c>
    </row>
    <row r="69" spans="1:4" x14ac:dyDescent="0.25">
      <c r="A69" s="11">
        <v>67</v>
      </c>
      <c r="B69" s="11">
        <f t="shared" si="3"/>
        <v>6565.8</v>
      </c>
      <c r="C69" s="11">
        <f t="shared" si="4"/>
        <v>31119.52</v>
      </c>
      <c r="D69" s="11">
        <f t="shared" si="5"/>
        <v>24553.72</v>
      </c>
    </row>
    <row r="70" spans="1:4" x14ac:dyDescent="0.25">
      <c r="A70" s="11">
        <v>68</v>
      </c>
      <c r="B70" s="11">
        <f t="shared" si="3"/>
        <v>6744.2</v>
      </c>
      <c r="C70" s="11">
        <f t="shared" si="4"/>
        <v>31435.364999999998</v>
      </c>
      <c r="D70" s="11">
        <f t="shared" si="5"/>
        <v>24691.164999999997</v>
      </c>
    </row>
    <row r="71" spans="1:4" x14ac:dyDescent="0.25">
      <c r="A71" s="11">
        <v>69</v>
      </c>
      <c r="B71" s="11">
        <f t="shared" si="3"/>
        <v>6925</v>
      </c>
      <c r="C71" s="11">
        <f t="shared" si="4"/>
        <v>31745</v>
      </c>
      <c r="D71" s="11">
        <f t="shared" si="5"/>
        <v>24820</v>
      </c>
    </row>
    <row r="72" spans="1:4" x14ac:dyDescent="0.25">
      <c r="A72" s="11">
        <v>70</v>
      </c>
      <c r="B72" s="11">
        <f t="shared" si="3"/>
        <v>7108.2</v>
      </c>
      <c r="C72" s="11">
        <f t="shared" si="4"/>
        <v>32048.334999999999</v>
      </c>
      <c r="D72" s="11">
        <f t="shared" si="5"/>
        <v>24940.134999999998</v>
      </c>
    </row>
    <row r="73" spans="1:4" x14ac:dyDescent="0.25">
      <c r="A73" s="11">
        <v>71</v>
      </c>
      <c r="B73" s="11">
        <f t="shared" si="3"/>
        <v>7293.8</v>
      </c>
      <c r="C73" s="11">
        <f t="shared" si="4"/>
        <v>32345.279999999999</v>
      </c>
      <c r="D73" s="11">
        <f t="shared" si="5"/>
        <v>25051.48</v>
      </c>
    </row>
    <row r="74" spans="1:4" x14ac:dyDescent="0.25">
      <c r="A74" s="11">
        <v>72</v>
      </c>
      <c r="B74" s="11">
        <f t="shared" si="3"/>
        <v>7481.8</v>
      </c>
      <c r="C74" s="11">
        <f t="shared" si="4"/>
        <v>32635.744999999999</v>
      </c>
      <c r="D74" s="11">
        <f t="shared" si="5"/>
        <v>25153.945</v>
      </c>
    </row>
    <row r="75" spans="1:4" x14ac:dyDescent="0.25">
      <c r="A75" s="11">
        <v>73</v>
      </c>
      <c r="B75" s="11">
        <f t="shared" si="3"/>
        <v>7672.2</v>
      </c>
      <c r="C75" s="11">
        <f t="shared" si="4"/>
        <v>32919.64</v>
      </c>
      <c r="D75" s="11">
        <f t="shared" si="5"/>
        <v>25247.439999999999</v>
      </c>
    </row>
    <row r="76" spans="1:4" x14ac:dyDescent="0.25">
      <c r="A76" s="11">
        <v>74</v>
      </c>
      <c r="B76" s="11">
        <f t="shared" si="3"/>
        <v>7865</v>
      </c>
      <c r="C76" s="11">
        <f t="shared" si="4"/>
        <v>33196.875</v>
      </c>
      <c r="D76" s="11">
        <f t="shared" si="5"/>
        <v>25331.875</v>
      </c>
    </row>
    <row r="77" spans="1:4" x14ac:dyDescent="0.25">
      <c r="A77" s="11">
        <v>75</v>
      </c>
      <c r="B77" s="11">
        <f t="shared" si="3"/>
        <v>8060.2</v>
      </c>
      <c r="C77" s="11">
        <f t="shared" si="4"/>
        <v>33467.360000000001</v>
      </c>
      <c r="D77" s="11">
        <f t="shared" si="5"/>
        <v>25407.16</v>
      </c>
    </row>
    <row r="78" spans="1:4" x14ac:dyDescent="0.25">
      <c r="A78" s="11">
        <v>76</v>
      </c>
      <c r="B78" s="11">
        <f t="shared" si="3"/>
        <v>8257.7999999999993</v>
      </c>
      <c r="C78" s="11">
        <f t="shared" si="4"/>
        <v>33731.004999999997</v>
      </c>
      <c r="D78" s="11">
        <f t="shared" si="5"/>
        <v>25473.204999999998</v>
      </c>
    </row>
    <row r="79" spans="1:4" x14ac:dyDescent="0.25">
      <c r="A79" s="11">
        <v>77</v>
      </c>
      <c r="B79" s="11">
        <f t="shared" si="3"/>
        <v>8457.7999999999993</v>
      </c>
      <c r="C79" s="11">
        <f t="shared" si="4"/>
        <v>33987.72</v>
      </c>
      <c r="D79" s="11">
        <f t="shared" si="5"/>
        <v>25529.920000000002</v>
      </c>
    </row>
    <row r="80" spans="1:4" x14ac:dyDescent="0.25">
      <c r="A80" s="11">
        <v>78</v>
      </c>
      <c r="B80" s="11">
        <f t="shared" si="3"/>
        <v>8660.2000000000007</v>
      </c>
      <c r="C80" s="11">
        <f t="shared" si="4"/>
        <v>34237.415000000001</v>
      </c>
      <c r="D80" s="11">
        <f t="shared" si="5"/>
        <v>25577.215</v>
      </c>
    </row>
    <row r="81" spans="1:4" x14ac:dyDescent="0.25">
      <c r="A81" s="11">
        <v>79</v>
      </c>
      <c r="B81" s="11">
        <f t="shared" si="3"/>
        <v>8865</v>
      </c>
      <c r="C81" s="11">
        <f t="shared" si="4"/>
        <v>34480</v>
      </c>
      <c r="D81" s="11">
        <f t="shared" si="5"/>
        <v>25615</v>
      </c>
    </row>
    <row r="82" spans="1:4" x14ac:dyDescent="0.25">
      <c r="A82" s="11">
        <v>80</v>
      </c>
      <c r="B82" s="11">
        <f t="shared" si="3"/>
        <v>9072.2000000000007</v>
      </c>
      <c r="C82" s="11">
        <f t="shared" si="4"/>
        <v>34715.385000000002</v>
      </c>
      <c r="D82" s="11">
        <f t="shared" si="5"/>
        <v>25643.185000000001</v>
      </c>
    </row>
    <row r="83" spans="1:4" x14ac:dyDescent="0.25">
      <c r="A83" s="11">
        <v>81</v>
      </c>
      <c r="B83" s="11">
        <f t="shared" si="3"/>
        <v>9281.7999999999993</v>
      </c>
      <c r="C83" s="11">
        <f t="shared" si="4"/>
        <v>34943.479999999996</v>
      </c>
      <c r="D83" s="11">
        <f t="shared" si="5"/>
        <v>25661.679999999997</v>
      </c>
    </row>
    <row r="84" spans="1:4" x14ac:dyDescent="0.25">
      <c r="A84" s="11">
        <v>82</v>
      </c>
      <c r="B84" s="11">
        <f t="shared" si="3"/>
        <v>9493.7999999999993</v>
      </c>
      <c r="C84" s="11">
        <f t="shared" si="4"/>
        <v>35164.195</v>
      </c>
      <c r="D84" s="11">
        <f t="shared" si="5"/>
        <v>25670.395</v>
      </c>
    </row>
    <row r="85" spans="1:4" x14ac:dyDescent="0.25">
      <c r="A85" s="11">
        <v>83</v>
      </c>
      <c r="B85" s="11">
        <f t="shared" si="3"/>
        <v>9708.1999999999989</v>
      </c>
      <c r="C85" s="11">
        <f t="shared" si="4"/>
        <v>35377.440000000002</v>
      </c>
      <c r="D85" s="11">
        <f t="shared" si="5"/>
        <v>25669.240000000005</v>
      </c>
    </row>
    <row r="86" spans="1:4" x14ac:dyDescent="0.25">
      <c r="A86" s="11">
        <v>84</v>
      </c>
      <c r="B86" s="11">
        <f t="shared" si="3"/>
        <v>9925</v>
      </c>
      <c r="C86" s="11">
        <f t="shared" si="4"/>
        <v>35583.125</v>
      </c>
      <c r="D86" s="11">
        <f t="shared" si="5"/>
        <v>25658.125</v>
      </c>
    </row>
    <row r="87" spans="1:4" x14ac:dyDescent="0.25">
      <c r="A87" s="11">
        <v>85</v>
      </c>
      <c r="B87" s="11">
        <f t="shared" si="3"/>
        <v>10144.199999999999</v>
      </c>
      <c r="C87" s="11">
        <f t="shared" si="4"/>
        <v>35781.160000000003</v>
      </c>
      <c r="D87" s="11">
        <f t="shared" si="5"/>
        <v>25636.960000000006</v>
      </c>
    </row>
    <row r="88" spans="1:4" x14ac:dyDescent="0.25">
      <c r="A88" s="11">
        <v>86</v>
      </c>
      <c r="B88" s="11">
        <f t="shared" si="3"/>
        <v>10365.799999999999</v>
      </c>
      <c r="C88" s="11">
        <f t="shared" si="4"/>
        <v>35971.455000000002</v>
      </c>
      <c r="D88" s="11">
        <f t="shared" si="5"/>
        <v>25605.655000000002</v>
      </c>
    </row>
    <row r="89" spans="1:4" x14ac:dyDescent="0.25">
      <c r="A89" s="11">
        <v>87</v>
      </c>
      <c r="B89" s="11">
        <f t="shared" si="3"/>
        <v>10589.8</v>
      </c>
      <c r="C89" s="11">
        <f t="shared" si="4"/>
        <v>36153.919999999998</v>
      </c>
      <c r="D89" s="11">
        <f t="shared" si="5"/>
        <v>25564.12</v>
      </c>
    </row>
    <row r="90" spans="1:4" x14ac:dyDescent="0.25">
      <c r="A90" s="11">
        <v>88</v>
      </c>
      <c r="B90" s="11">
        <f t="shared" si="3"/>
        <v>10816.199999999999</v>
      </c>
      <c r="C90" s="11">
        <f t="shared" si="4"/>
        <v>36328.464999999997</v>
      </c>
      <c r="D90" s="11">
        <f t="shared" si="5"/>
        <v>25512.264999999999</v>
      </c>
    </row>
    <row r="91" spans="1:4" x14ac:dyDescent="0.25">
      <c r="A91" s="11">
        <v>89</v>
      </c>
      <c r="B91" s="11">
        <f t="shared" si="3"/>
        <v>11045</v>
      </c>
      <c r="C91" s="11">
        <f t="shared" si="4"/>
        <v>36495</v>
      </c>
      <c r="D91" s="11">
        <f t="shared" si="5"/>
        <v>25450</v>
      </c>
    </row>
    <row r="92" spans="1:4" x14ac:dyDescent="0.25">
      <c r="A92" s="11">
        <v>90</v>
      </c>
      <c r="B92" s="11">
        <f t="shared" si="3"/>
        <v>11276.199999999999</v>
      </c>
      <c r="C92" s="11">
        <f t="shared" si="4"/>
        <v>36653.434999999998</v>
      </c>
      <c r="D92" s="11">
        <f t="shared" si="5"/>
        <v>25377.235000000001</v>
      </c>
    </row>
    <row r="93" spans="1:4" x14ac:dyDescent="0.25">
      <c r="A93" s="11">
        <v>91</v>
      </c>
      <c r="B93" s="11">
        <f t="shared" si="3"/>
        <v>11509.8</v>
      </c>
      <c r="C93" s="11">
        <f t="shared" si="4"/>
        <v>36803.68</v>
      </c>
      <c r="D93" s="11">
        <f t="shared" si="5"/>
        <v>25293.88</v>
      </c>
    </row>
    <row r="94" spans="1:4" x14ac:dyDescent="0.25">
      <c r="A94" s="11">
        <v>92</v>
      </c>
      <c r="B94" s="11">
        <f t="shared" si="3"/>
        <v>11745.8</v>
      </c>
      <c r="C94" s="11">
        <f t="shared" si="4"/>
        <v>36945.645000000004</v>
      </c>
      <c r="D94" s="11">
        <f t="shared" si="5"/>
        <v>25199.845000000005</v>
      </c>
    </row>
    <row r="95" spans="1:4" x14ac:dyDescent="0.25">
      <c r="A95" s="11">
        <v>93</v>
      </c>
      <c r="B95" s="11">
        <f t="shared" si="3"/>
        <v>11984.199999999999</v>
      </c>
      <c r="C95" s="11">
        <f t="shared" si="4"/>
        <v>37079.24</v>
      </c>
      <c r="D95" s="11">
        <f t="shared" si="5"/>
        <v>25095.040000000001</v>
      </c>
    </row>
    <row r="96" spans="1:4" x14ac:dyDescent="0.25">
      <c r="A96" s="11">
        <v>94</v>
      </c>
      <c r="B96" s="11">
        <f t="shared" si="3"/>
        <v>12225</v>
      </c>
      <c r="C96" s="11">
        <f t="shared" si="4"/>
        <v>37204.375</v>
      </c>
      <c r="D96" s="11">
        <f t="shared" si="5"/>
        <v>24979.375</v>
      </c>
    </row>
    <row r="97" spans="1:4" x14ac:dyDescent="0.25">
      <c r="A97" s="11">
        <v>95</v>
      </c>
      <c r="B97" s="11">
        <f t="shared" si="3"/>
        <v>12468.199999999999</v>
      </c>
      <c r="C97" s="11">
        <f t="shared" si="4"/>
        <v>37320.959999999999</v>
      </c>
      <c r="D97" s="11">
        <f t="shared" si="5"/>
        <v>24852.760000000002</v>
      </c>
    </row>
    <row r="98" spans="1:4" x14ac:dyDescent="0.25">
      <c r="A98" s="11">
        <v>96</v>
      </c>
      <c r="B98" s="11">
        <f t="shared" si="3"/>
        <v>12713.8</v>
      </c>
      <c r="C98" s="11">
        <f t="shared" si="4"/>
        <v>37428.904999999999</v>
      </c>
      <c r="D98" s="11">
        <f t="shared" si="5"/>
        <v>24715.105</v>
      </c>
    </row>
    <row r="99" spans="1:4" x14ac:dyDescent="0.25">
      <c r="A99" s="11">
        <v>97</v>
      </c>
      <c r="B99" s="11">
        <f t="shared" si="3"/>
        <v>12961.8</v>
      </c>
      <c r="C99" s="11">
        <f t="shared" si="4"/>
        <v>37528.120000000003</v>
      </c>
      <c r="D99" s="11">
        <f t="shared" si="5"/>
        <v>24566.320000000003</v>
      </c>
    </row>
    <row r="100" spans="1:4" x14ac:dyDescent="0.25">
      <c r="A100" s="11">
        <v>98</v>
      </c>
      <c r="B100" s="11">
        <f t="shared" si="3"/>
        <v>13212.199999999999</v>
      </c>
      <c r="C100" s="11">
        <f t="shared" si="4"/>
        <v>37618.514999999999</v>
      </c>
      <c r="D100" s="11">
        <f t="shared" si="5"/>
        <v>24406.315000000002</v>
      </c>
    </row>
    <row r="101" spans="1:4" x14ac:dyDescent="0.25">
      <c r="A101" s="11">
        <v>99</v>
      </c>
      <c r="B101" s="11">
        <f t="shared" si="3"/>
        <v>13465</v>
      </c>
      <c r="C101" s="11">
        <f t="shared" si="4"/>
        <v>37700</v>
      </c>
      <c r="D101" s="11">
        <f t="shared" si="5"/>
        <v>24235</v>
      </c>
    </row>
    <row r="102" spans="1:4" x14ac:dyDescent="0.25">
      <c r="A102" s="11">
        <v>100</v>
      </c>
      <c r="B102" s="11">
        <f t="shared" si="3"/>
        <v>13720.199999999999</v>
      </c>
      <c r="C102" s="11">
        <f t="shared" si="4"/>
        <v>37772.485000000001</v>
      </c>
      <c r="D102" s="11">
        <f t="shared" si="5"/>
        <v>24052.285000000003</v>
      </c>
    </row>
    <row r="103" spans="1:4" x14ac:dyDescent="0.25">
      <c r="A103" s="11">
        <v>101</v>
      </c>
      <c r="B103" s="11">
        <f t="shared" si="3"/>
        <v>13977.8</v>
      </c>
      <c r="C103" s="11">
        <f t="shared" si="4"/>
        <v>37835.880000000005</v>
      </c>
      <c r="D103" s="11">
        <f t="shared" si="5"/>
        <v>23858.080000000005</v>
      </c>
    </row>
    <row r="104" spans="1:4" x14ac:dyDescent="0.25">
      <c r="A104" s="11">
        <v>102</v>
      </c>
      <c r="B104" s="11">
        <f t="shared" si="3"/>
        <v>14237.8</v>
      </c>
      <c r="C104" s="11">
        <f t="shared" si="4"/>
        <v>37890.095000000001</v>
      </c>
      <c r="D104" s="11">
        <f t="shared" si="5"/>
        <v>23652.295000000002</v>
      </c>
    </row>
    <row r="105" spans="1:4" x14ac:dyDescent="0.25">
      <c r="A105" s="11">
        <v>103</v>
      </c>
      <c r="B105" s="11">
        <f t="shared" si="3"/>
        <v>14500.199999999999</v>
      </c>
      <c r="C105" s="11">
        <f t="shared" si="4"/>
        <v>37935.040000000001</v>
      </c>
      <c r="D105" s="11">
        <f t="shared" si="5"/>
        <v>23434.840000000004</v>
      </c>
    </row>
    <row r="106" spans="1:4" x14ac:dyDescent="0.25">
      <c r="A106" s="11">
        <v>104</v>
      </c>
      <c r="B106" s="11">
        <f t="shared" si="3"/>
        <v>14765</v>
      </c>
      <c r="C106" s="11">
        <f t="shared" si="4"/>
        <v>37970.625</v>
      </c>
      <c r="D106" s="11">
        <f t="shared" si="5"/>
        <v>23205.625</v>
      </c>
    </row>
    <row r="107" spans="1:4" x14ac:dyDescent="0.25">
      <c r="A107" s="11">
        <v>105</v>
      </c>
      <c r="B107" s="11">
        <f t="shared" si="3"/>
        <v>15032.199999999999</v>
      </c>
      <c r="C107" s="11">
        <f t="shared" si="4"/>
        <v>37996.76</v>
      </c>
      <c r="D107" s="11">
        <f t="shared" si="5"/>
        <v>22964.560000000005</v>
      </c>
    </row>
    <row r="108" spans="1:4" x14ac:dyDescent="0.25">
      <c r="A108" s="11">
        <v>106</v>
      </c>
      <c r="B108" s="11">
        <f t="shared" si="3"/>
        <v>15301.8</v>
      </c>
      <c r="C108" s="11">
        <f t="shared" si="4"/>
        <v>38013.354999999996</v>
      </c>
      <c r="D108" s="11">
        <f t="shared" si="5"/>
        <v>22711.554999999997</v>
      </c>
    </row>
    <row r="109" spans="1:4" x14ac:dyDescent="0.25">
      <c r="A109" s="11">
        <v>107</v>
      </c>
      <c r="B109" s="11">
        <f t="shared" si="3"/>
        <v>15573.8</v>
      </c>
      <c r="C109" s="11">
        <f t="shared" si="4"/>
        <v>38020.32</v>
      </c>
      <c r="D109" s="11">
        <f t="shared" si="5"/>
        <v>22446.52</v>
      </c>
    </row>
    <row r="110" spans="1:4" x14ac:dyDescent="0.25">
      <c r="A110" s="11">
        <v>108</v>
      </c>
      <c r="B110" s="11">
        <f t="shared" si="3"/>
        <v>15848.199999999999</v>
      </c>
      <c r="C110" s="11">
        <f t="shared" si="4"/>
        <v>38017.565000000002</v>
      </c>
      <c r="D110" s="11">
        <f t="shared" si="5"/>
        <v>22169.365000000005</v>
      </c>
    </row>
    <row r="111" spans="1:4" x14ac:dyDescent="0.25">
      <c r="A111" s="11">
        <v>109</v>
      </c>
      <c r="B111" s="11">
        <f t="shared" si="3"/>
        <v>16125</v>
      </c>
      <c r="C111" s="11">
        <f t="shared" si="4"/>
        <v>38005</v>
      </c>
      <c r="D111" s="11">
        <f t="shared" si="5"/>
        <v>21880</v>
      </c>
    </row>
    <row r="112" spans="1:4" x14ac:dyDescent="0.25">
      <c r="A112" s="11">
        <v>110</v>
      </c>
      <c r="B112" s="11">
        <f t="shared" si="3"/>
        <v>16404.199999999997</v>
      </c>
      <c r="C112" s="11">
        <f t="shared" si="4"/>
        <v>37982.535000000003</v>
      </c>
      <c r="D112" s="11">
        <f t="shared" si="5"/>
        <v>21578.335000000006</v>
      </c>
    </row>
    <row r="113" spans="1:4" x14ac:dyDescent="0.25">
      <c r="A113" s="11">
        <v>111</v>
      </c>
      <c r="B113" s="11">
        <f t="shared" si="3"/>
        <v>16685.8</v>
      </c>
      <c r="C113" s="11">
        <f t="shared" si="4"/>
        <v>37950.080000000002</v>
      </c>
      <c r="D113" s="11">
        <f t="shared" si="5"/>
        <v>21264.280000000002</v>
      </c>
    </row>
    <row r="114" spans="1:4" x14ac:dyDescent="0.25">
      <c r="A114" s="11">
        <v>112</v>
      </c>
      <c r="B114" s="11">
        <f t="shared" si="3"/>
        <v>16969.8</v>
      </c>
      <c r="C114" s="11">
        <f t="shared" si="4"/>
        <v>37907.544999999998</v>
      </c>
      <c r="D114" s="11">
        <f t="shared" si="5"/>
        <v>20937.744999999999</v>
      </c>
    </row>
    <row r="115" spans="1:4" x14ac:dyDescent="0.25">
      <c r="A115" s="11">
        <v>113</v>
      </c>
      <c r="B115" s="11">
        <f t="shared" si="3"/>
        <v>17256.199999999997</v>
      </c>
      <c r="C115" s="11">
        <f t="shared" si="4"/>
        <v>37854.839999999997</v>
      </c>
      <c r="D115" s="11">
        <f t="shared" si="5"/>
        <v>20598.64</v>
      </c>
    </row>
    <row r="116" spans="1:4" x14ac:dyDescent="0.25">
      <c r="A116" s="11">
        <v>114</v>
      </c>
      <c r="B116" s="11">
        <f t="shared" si="3"/>
        <v>17545</v>
      </c>
      <c r="C116" s="11">
        <f t="shared" si="4"/>
        <v>37791.875</v>
      </c>
      <c r="D116" s="11">
        <f t="shared" si="5"/>
        <v>20246.875</v>
      </c>
    </row>
    <row r="117" spans="1:4" x14ac:dyDescent="0.25">
      <c r="A117" s="11">
        <v>115</v>
      </c>
      <c r="B117" s="11">
        <f t="shared" si="3"/>
        <v>17836.199999999997</v>
      </c>
      <c r="C117" s="11">
        <f t="shared" si="4"/>
        <v>37718.559999999998</v>
      </c>
      <c r="D117" s="11">
        <f t="shared" si="5"/>
        <v>19882.36</v>
      </c>
    </row>
    <row r="118" spans="1:4" x14ac:dyDescent="0.25">
      <c r="A118" s="11">
        <v>116</v>
      </c>
      <c r="B118" s="11">
        <f t="shared" si="3"/>
        <v>18129.8</v>
      </c>
      <c r="C118" s="11">
        <f t="shared" si="4"/>
        <v>37634.805</v>
      </c>
      <c r="D118" s="11">
        <f t="shared" si="5"/>
        <v>19505.005000000001</v>
      </c>
    </row>
    <row r="119" spans="1:4" x14ac:dyDescent="0.25">
      <c r="A119" s="11">
        <v>117</v>
      </c>
      <c r="B119" s="11">
        <f t="shared" si="3"/>
        <v>18425.8</v>
      </c>
      <c r="C119" s="11">
        <f t="shared" si="4"/>
        <v>37540.520000000004</v>
      </c>
      <c r="D119" s="11">
        <f t="shared" si="5"/>
        <v>19114.720000000005</v>
      </c>
    </row>
    <row r="120" spans="1:4" x14ac:dyDescent="0.25">
      <c r="A120" s="11">
        <v>118</v>
      </c>
      <c r="B120" s="11">
        <f t="shared" si="3"/>
        <v>18724.2</v>
      </c>
      <c r="C120" s="11">
        <f t="shared" si="4"/>
        <v>37435.615000000005</v>
      </c>
      <c r="D120" s="11">
        <f t="shared" si="5"/>
        <v>18711.415000000005</v>
      </c>
    </row>
    <row r="121" spans="1:4" x14ac:dyDescent="0.25">
      <c r="A121" s="11">
        <v>119</v>
      </c>
      <c r="B121" s="11">
        <f t="shared" si="3"/>
        <v>19025</v>
      </c>
      <c r="C121" s="11">
        <f t="shared" si="4"/>
        <v>37320</v>
      </c>
      <c r="D121" s="11">
        <f t="shared" si="5"/>
        <v>18295</v>
      </c>
    </row>
    <row r="122" spans="1:4" x14ac:dyDescent="0.25">
      <c r="A122" s="11">
        <v>120</v>
      </c>
      <c r="B122" s="11">
        <f t="shared" si="3"/>
        <v>19328.2</v>
      </c>
      <c r="C122" s="11">
        <f t="shared" si="4"/>
        <v>37193.585000000006</v>
      </c>
      <c r="D122" s="11">
        <f t="shared" si="5"/>
        <v>17865.385000000006</v>
      </c>
    </row>
    <row r="123" spans="1:4" x14ac:dyDescent="0.25">
      <c r="A123" s="11">
        <v>121</v>
      </c>
      <c r="B123" s="11">
        <f t="shared" si="3"/>
        <v>19633.8</v>
      </c>
      <c r="C123" s="11">
        <f t="shared" si="4"/>
        <v>37056.28</v>
      </c>
      <c r="D123" s="11">
        <f t="shared" si="5"/>
        <v>17422.48</v>
      </c>
    </row>
    <row r="124" spans="1:4" x14ac:dyDescent="0.25">
      <c r="A124" s="11">
        <v>122</v>
      </c>
      <c r="B124" s="11">
        <f t="shared" si="3"/>
        <v>19941.8</v>
      </c>
      <c r="C124" s="11">
        <f t="shared" si="4"/>
        <v>36907.995000000003</v>
      </c>
      <c r="D124" s="11">
        <f t="shared" si="5"/>
        <v>16966.195000000003</v>
      </c>
    </row>
    <row r="125" spans="1:4" x14ac:dyDescent="0.25">
      <c r="A125" s="11">
        <v>123</v>
      </c>
      <c r="B125" s="11">
        <f t="shared" si="3"/>
        <v>20252.2</v>
      </c>
      <c r="C125" s="11">
        <f t="shared" si="4"/>
        <v>36748.639999999999</v>
      </c>
      <c r="D125" s="11">
        <f t="shared" si="5"/>
        <v>16496.439999999999</v>
      </c>
    </row>
    <row r="126" spans="1:4" x14ac:dyDescent="0.25">
      <c r="A126" s="11">
        <v>124</v>
      </c>
      <c r="B126" s="11">
        <f t="shared" si="3"/>
        <v>20565</v>
      </c>
      <c r="C126" s="11">
        <f t="shared" si="4"/>
        <v>36578.125</v>
      </c>
      <c r="D126" s="11">
        <f t="shared" si="5"/>
        <v>16013.125</v>
      </c>
    </row>
    <row r="127" spans="1:4" x14ac:dyDescent="0.25">
      <c r="A127" s="11">
        <v>125</v>
      </c>
      <c r="B127" s="11">
        <f t="shared" si="3"/>
        <v>20880.2</v>
      </c>
      <c r="C127" s="11">
        <f t="shared" si="4"/>
        <v>36396.36</v>
      </c>
      <c r="D127" s="11">
        <f t="shared" si="5"/>
        <v>15516.16</v>
      </c>
    </row>
    <row r="128" spans="1:4" x14ac:dyDescent="0.25">
      <c r="A128" s="11">
        <v>126</v>
      </c>
      <c r="B128" s="11">
        <f t="shared" si="3"/>
        <v>21197.8</v>
      </c>
      <c r="C128" s="11">
        <f t="shared" si="4"/>
        <v>36203.255000000005</v>
      </c>
      <c r="D128" s="11">
        <f t="shared" si="5"/>
        <v>15005.455000000005</v>
      </c>
    </row>
    <row r="129" spans="1:4" x14ac:dyDescent="0.25">
      <c r="A129" s="11">
        <v>127</v>
      </c>
      <c r="B129" s="11">
        <f t="shared" si="3"/>
        <v>21517.8</v>
      </c>
      <c r="C129" s="11">
        <f t="shared" si="4"/>
        <v>35998.720000000001</v>
      </c>
      <c r="D129" s="11">
        <f t="shared" si="5"/>
        <v>14480.920000000002</v>
      </c>
    </row>
    <row r="130" spans="1:4" x14ac:dyDescent="0.25">
      <c r="A130" s="11">
        <v>128</v>
      </c>
      <c r="B130" s="11">
        <f t="shared" si="3"/>
        <v>21840.2</v>
      </c>
      <c r="C130" s="11">
        <f t="shared" si="4"/>
        <v>35782.665000000001</v>
      </c>
      <c r="D130" s="11">
        <f t="shared" si="5"/>
        <v>13942.465</v>
      </c>
    </row>
    <row r="131" spans="1:4" x14ac:dyDescent="0.25">
      <c r="A131" s="11">
        <v>129</v>
      </c>
      <c r="B131" s="11">
        <f t="shared" ref="B131:B194" si="6">1.2*A132^2 + 14*A132 + 65</f>
        <v>22165</v>
      </c>
      <c r="C131" s="11">
        <f t="shared" ref="C131:C194" si="7">527*A132-0.015*A132^3</f>
        <v>35555</v>
      </c>
      <c r="D131" s="11">
        <f t="shared" ref="D131:D194" si="8">C131-B131</f>
        <v>13390</v>
      </c>
    </row>
    <row r="132" spans="1:4" x14ac:dyDescent="0.25">
      <c r="A132" s="11">
        <v>130</v>
      </c>
      <c r="B132" s="11">
        <f t="shared" si="6"/>
        <v>22492.2</v>
      </c>
      <c r="C132" s="11">
        <f t="shared" si="7"/>
        <v>35315.635000000002</v>
      </c>
      <c r="D132" s="11">
        <f t="shared" si="8"/>
        <v>12823.435000000001</v>
      </c>
    </row>
    <row r="133" spans="1:4" x14ac:dyDescent="0.25">
      <c r="A133" s="11">
        <v>131</v>
      </c>
      <c r="B133" s="11">
        <f t="shared" si="6"/>
        <v>22821.8</v>
      </c>
      <c r="C133" s="11">
        <f t="shared" si="7"/>
        <v>35064.480000000003</v>
      </c>
      <c r="D133" s="11">
        <f t="shared" si="8"/>
        <v>12242.680000000004</v>
      </c>
    </row>
    <row r="134" spans="1:4" x14ac:dyDescent="0.25">
      <c r="A134" s="11">
        <v>132</v>
      </c>
      <c r="B134" s="11">
        <f t="shared" si="6"/>
        <v>23153.8</v>
      </c>
      <c r="C134" s="11">
        <f t="shared" si="7"/>
        <v>34801.445</v>
      </c>
      <c r="D134" s="11">
        <f t="shared" si="8"/>
        <v>11647.645</v>
      </c>
    </row>
    <row r="135" spans="1:4" x14ac:dyDescent="0.25">
      <c r="A135" s="11">
        <v>133</v>
      </c>
      <c r="B135" s="11">
        <f t="shared" si="6"/>
        <v>23488.2</v>
      </c>
      <c r="C135" s="11">
        <f t="shared" si="7"/>
        <v>34526.44</v>
      </c>
      <c r="D135" s="11">
        <f t="shared" si="8"/>
        <v>11038.240000000002</v>
      </c>
    </row>
    <row r="136" spans="1:4" x14ac:dyDescent="0.25">
      <c r="A136" s="11">
        <v>134</v>
      </c>
      <c r="B136" s="11">
        <f t="shared" si="6"/>
        <v>23825</v>
      </c>
      <c r="C136" s="11">
        <f t="shared" si="7"/>
        <v>34239.375</v>
      </c>
      <c r="D136" s="11">
        <f t="shared" si="8"/>
        <v>10414.375</v>
      </c>
    </row>
    <row r="137" spans="1:4" x14ac:dyDescent="0.25">
      <c r="A137" s="11">
        <v>135</v>
      </c>
      <c r="B137" s="11">
        <f t="shared" si="6"/>
        <v>24164.2</v>
      </c>
      <c r="C137" s="11">
        <f t="shared" si="7"/>
        <v>33940.160000000003</v>
      </c>
      <c r="D137" s="11">
        <f t="shared" si="8"/>
        <v>9775.9600000000028</v>
      </c>
    </row>
    <row r="138" spans="1:4" x14ac:dyDescent="0.25">
      <c r="A138" s="11">
        <v>136</v>
      </c>
      <c r="B138" s="11">
        <f t="shared" si="6"/>
        <v>24505.8</v>
      </c>
      <c r="C138" s="11">
        <f t="shared" si="7"/>
        <v>33628.705000000002</v>
      </c>
      <c r="D138" s="11">
        <f t="shared" si="8"/>
        <v>9122.9050000000025</v>
      </c>
    </row>
    <row r="139" spans="1:4" x14ac:dyDescent="0.25">
      <c r="A139" s="11">
        <v>137</v>
      </c>
      <c r="B139" s="11">
        <f t="shared" si="6"/>
        <v>24849.8</v>
      </c>
      <c r="C139" s="11">
        <f t="shared" si="7"/>
        <v>33304.92</v>
      </c>
      <c r="D139" s="11">
        <f t="shared" si="8"/>
        <v>8455.119999999999</v>
      </c>
    </row>
    <row r="140" spans="1:4" x14ac:dyDescent="0.25">
      <c r="A140" s="11">
        <v>138</v>
      </c>
      <c r="B140" s="11">
        <f t="shared" si="6"/>
        <v>25196.2</v>
      </c>
      <c r="C140" s="11">
        <f t="shared" si="7"/>
        <v>32968.715000000004</v>
      </c>
      <c r="D140" s="11">
        <f t="shared" si="8"/>
        <v>7772.5150000000031</v>
      </c>
    </row>
    <row r="141" spans="1:4" x14ac:dyDescent="0.25">
      <c r="A141" s="11">
        <v>139</v>
      </c>
      <c r="B141" s="11">
        <f t="shared" si="6"/>
        <v>25545</v>
      </c>
      <c r="C141" s="11">
        <f t="shared" si="7"/>
        <v>32620</v>
      </c>
      <c r="D141" s="11">
        <f t="shared" si="8"/>
        <v>7075</v>
      </c>
    </row>
    <row r="142" spans="1:4" x14ac:dyDescent="0.25">
      <c r="A142" s="11">
        <v>140</v>
      </c>
      <c r="B142" s="11">
        <f t="shared" si="6"/>
        <v>25896.2</v>
      </c>
      <c r="C142" s="11">
        <f t="shared" si="7"/>
        <v>32258.685000000005</v>
      </c>
      <c r="D142" s="11">
        <f t="shared" si="8"/>
        <v>6362.4850000000042</v>
      </c>
    </row>
    <row r="143" spans="1:4" x14ac:dyDescent="0.25">
      <c r="A143" s="11">
        <v>141</v>
      </c>
      <c r="B143" s="11">
        <f t="shared" si="6"/>
        <v>26249.8</v>
      </c>
      <c r="C143" s="11">
        <f t="shared" si="7"/>
        <v>31884.68</v>
      </c>
      <c r="D143" s="11">
        <f t="shared" si="8"/>
        <v>5634.880000000001</v>
      </c>
    </row>
    <row r="144" spans="1:4" x14ac:dyDescent="0.25">
      <c r="A144" s="11">
        <v>142</v>
      </c>
      <c r="B144" s="11">
        <f t="shared" si="6"/>
        <v>26605.8</v>
      </c>
      <c r="C144" s="11">
        <f t="shared" si="7"/>
        <v>31497.895000000004</v>
      </c>
      <c r="D144" s="11">
        <f t="shared" si="8"/>
        <v>4892.0950000000048</v>
      </c>
    </row>
    <row r="145" spans="1:4" x14ac:dyDescent="0.25">
      <c r="A145" s="11">
        <v>143</v>
      </c>
      <c r="B145" s="11">
        <f t="shared" si="6"/>
        <v>26964.2</v>
      </c>
      <c r="C145" s="11">
        <f t="shared" si="7"/>
        <v>31098.240000000005</v>
      </c>
      <c r="D145" s="11">
        <f t="shared" si="8"/>
        <v>4134.0400000000045</v>
      </c>
    </row>
    <row r="146" spans="1:4" x14ac:dyDescent="0.25">
      <c r="A146" s="11">
        <v>144</v>
      </c>
      <c r="B146" s="11">
        <f t="shared" si="6"/>
        <v>27325</v>
      </c>
      <c r="C146" s="11">
        <f t="shared" si="7"/>
        <v>30685.625</v>
      </c>
      <c r="D146" s="11">
        <f t="shared" si="8"/>
        <v>3360.625</v>
      </c>
    </row>
    <row r="147" spans="1:4" x14ac:dyDescent="0.25">
      <c r="A147" s="11">
        <v>145</v>
      </c>
      <c r="B147" s="11">
        <f t="shared" si="6"/>
        <v>27688.2</v>
      </c>
      <c r="C147" s="11">
        <f t="shared" si="7"/>
        <v>30259.96</v>
      </c>
      <c r="D147" s="11">
        <f t="shared" si="8"/>
        <v>2571.7599999999984</v>
      </c>
    </row>
    <row r="148" spans="1:4" x14ac:dyDescent="0.25">
      <c r="A148" s="11">
        <v>146</v>
      </c>
      <c r="B148" s="11">
        <f t="shared" si="6"/>
        <v>28053.8</v>
      </c>
      <c r="C148" s="11">
        <f t="shared" si="7"/>
        <v>29821.154999999999</v>
      </c>
      <c r="D148" s="11">
        <f t="shared" si="8"/>
        <v>1767.3549999999996</v>
      </c>
    </row>
    <row r="149" spans="1:4" x14ac:dyDescent="0.25">
      <c r="A149" s="11">
        <v>147</v>
      </c>
      <c r="B149" s="11">
        <f t="shared" si="6"/>
        <v>28421.8</v>
      </c>
      <c r="C149" s="11">
        <f t="shared" si="7"/>
        <v>29369.120000000003</v>
      </c>
      <c r="D149" s="11">
        <f t="shared" si="8"/>
        <v>947.32000000000335</v>
      </c>
    </row>
    <row r="150" spans="1:4" x14ac:dyDescent="0.25">
      <c r="A150" s="11">
        <v>148</v>
      </c>
      <c r="B150" s="11">
        <f t="shared" si="6"/>
        <v>28792.2</v>
      </c>
      <c r="C150" s="11">
        <f t="shared" si="7"/>
        <v>28903.764999999999</v>
      </c>
      <c r="D150" s="11">
        <f t="shared" si="8"/>
        <v>111.56499999999869</v>
      </c>
    </row>
    <row r="151" spans="1:4" x14ac:dyDescent="0.25">
      <c r="A151" s="11">
        <v>149</v>
      </c>
      <c r="B151" s="11">
        <f t="shared" si="6"/>
        <v>29165</v>
      </c>
      <c r="C151" s="11">
        <f t="shared" si="7"/>
        <v>28425</v>
      </c>
      <c r="D151" s="11">
        <f t="shared" si="8"/>
        <v>-740</v>
      </c>
    </row>
    <row r="152" spans="1:4" x14ac:dyDescent="0.25">
      <c r="A152" s="11">
        <v>150</v>
      </c>
      <c r="B152" s="11">
        <f t="shared" si="6"/>
        <v>29540.2</v>
      </c>
      <c r="C152" s="11">
        <f t="shared" si="7"/>
        <v>27932.735000000001</v>
      </c>
      <c r="D152" s="11">
        <f t="shared" si="8"/>
        <v>-1607.4650000000001</v>
      </c>
    </row>
    <row r="153" spans="1:4" x14ac:dyDescent="0.25">
      <c r="A153" s="11">
        <v>151</v>
      </c>
      <c r="B153" s="11">
        <f t="shared" si="6"/>
        <v>29917.8</v>
      </c>
      <c r="C153" s="11">
        <f t="shared" si="7"/>
        <v>27426.880000000005</v>
      </c>
      <c r="D153" s="11">
        <f t="shared" si="8"/>
        <v>-2490.9199999999946</v>
      </c>
    </row>
    <row r="154" spans="1:4" x14ac:dyDescent="0.25">
      <c r="A154" s="11">
        <v>152</v>
      </c>
      <c r="B154" s="11">
        <f t="shared" si="6"/>
        <v>30297.8</v>
      </c>
      <c r="C154" s="11">
        <f t="shared" si="7"/>
        <v>26907.345000000001</v>
      </c>
      <c r="D154" s="11">
        <f t="shared" si="8"/>
        <v>-3390.4549999999981</v>
      </c>
    </row>
    <row r="155" spans="1:4" x14ac:dyDescent="0.25">
      <c r="A155" s="11">
        <v>153</v>
      </c>
      <c r="B155" s="11">
        <f t="shared" si="6"/>
        <v>30680.2</v>
      </c>
      <c r="C155" s="11">
        <f t="shared" si="7"/>
        <v>26374.04</v>
      </c>
      <c r="D155" s="11">
        <f t="shared" si="8"/>
        <v>-4306.16</v>
      </c>
    </row>
    <row r="156" spans="1:4" x14ac:dyDescent="0.25">
      <c r="A156" s="11">
        <v>154</v>
      </c>
      <c r="B156" s="11">
        <f t="shared" si="6"/>
        <v>31065</v>
      </c>
      <c r="C156" s="11">
        <f t="shared" si="7"/>
        <v>25826.875</v>
      </c>
      <c r="D156" s="11">
        <f t="shared" si="8"/>
        <v>-5238.125</v>
      </c>
    </row>
    <row r="157" spans="1:4" x14ac:dyDescent="0.25">
      <c r="A157" s="11">
        <v>155</v>
      </c>
      <c r="B157" s="11">
        <f t="shared" si="6"/>
        <v>31452.2</v>
      </c>
      <c r="C157" s="11">
        <f t="shared" si="7"/>
        <v>25265.760000000002</v>
      </c>
      <c r="D157" s="11">
        <f t="shared" si="8"/>
        <v>-6186.4399999999987</v>
      </c>
    </row>
    <row r="158" spans="1:4" x14ac:dyDescent="0.25">
      <c r="A158" s="11">
        <v>156</v>
      </c>
      <c r="B158" s="11">
        <f t="shared" si="6"/>
        <v>31841.8</v>
      </c>
      <c r="C158" s="11">
        <f t="shared" si="7"/>
        <v>24690.605000000003</v>
      </c>
      <c r="D158" s="11">
        <f t="shared" si="8"/>
        <v>-7151.1949999999961</v>
      </c>
    </row>
    <row r="159" spans="1:4" x14ac:dyDescent="0.25">
      <c r="A159" s="11">
        <v>157</v>
      </c>
      <c r="B159" s="11">
        <f t="shared" si="6"/>
        <v>32233.8</v>
      </c>
      <c r="C159" s="11">
        <f t="shared" si="7"/>
        <v>24101.32</v>
      </c>
      <c r="D159" s="11">
        <f t="shared" si="8"/>
        <v>-8132.48</v>
      </c>
    </row>
    <row r="160" spans="1:4" x14ac:dyDescent="0.25">
      <c r="A160" s="11">
        <v>158</v>
      </c>
      <c r="B160" s="11">
        <f t="shared" si="6"/>
        <v>32628.199999999997</v>
      </c>
      <c r="C160" s="11">
        <f t="shared" si="7"/>
        <v>23497.815000000002</v>
      </c>
      <c r="D160" s="11">
        <f t="shared" si="8"/>
        <v>-9130.3849999999948</v>
      </c>
    </row>
    <row r="161" spans="1:4" x14ac:dyDescent="0.25">
      <c r="A161" s="11">
        <v>159</v>
      </c>
      <c r="B161" s="11">
        <f t="shared" si="6"/>
        <v>33025</v>
      </c>
      <c r="C161" s="11">
        <f t="shared" si="7"/>
        <v>22880</v>
      </c>
      <c r="D161" s="11">
        <f t="shared" si="8"/>
        <v>-10145</v>
      </c>
    </row>
    <row r="162" spans="1:4" x14ac:dyDescent="0.25">
      <c r="A162" s="11">
        <v>160</v>
      </c>
      <c r="B162" s="11">
        <f t="shared" si="6"/>
        <v>33424.199999999997</v>
      </c>
      <c r="C162" s="11">
        <f t="shared" si="7"/>
        <v>22247.785000000003</v>
      </c>
      <c r="D162" s="11">
        <f t="shared" si="8"/>
        <v>-11176.414999999994</v>
      </c>
    </row>
    <row r="163" spans="1:4" x14ac:dyDescent="0.25">
      <c r="A163" s="11">
        <v>161</v>
      </c>
      <c r="B163" s="11">
        <f t="shared" si="6"/>
        <v>33825.800000000003</v>
      </c>
      <c r="C163" s="11">
        <f t="shared" si="7"/>
        <v>21601.08</v>
      </c>
      <c r="D163" s="11">
        <f t="shared" si="8"/>
        <v>-12224.720000000001</v>
      </c>
    </row>
    <row r="164" spans="1:4" x14ac:dyDescent="0.25">
      <c r="A164" s="11">
        <v>162</v>
      </c>
      <c r="B164" s="11">
        <f t="shared" si="6"/>
        <v>34229.800000000003</v>
      </c>
      <c r="C164" s="11">
        <f t="shared" si="7"/>
        <v>20939.795000000006</v>
      </c>
      <c r="D164" s="11">
        <f t="shared" si="8"/>
        <v>-13290.004999999997</v>
      </c>
    </row>
    <row r="165" spans="1:4" x14ac:dyDescent="0.25">
      <c r="A165" s="11">
        <v>163</v>
      </c>
      <c r="B165" s="11">
        <f t="shared" si="6"/>
        <v>34636.199999999997</v>
      </c>
      <c r="C165" s="11">
        <f t="shared" si="7"/>
        <v>20263.839999999997</v>
      </c>
      <c r="D165" s="11">
        <f t="shared" si="8"/>
        <v>-14372.36</v>
      </c>
    </row>
    <row r="166" spans="1:4" x14ac:dyDescent="0.25">
      <c r="A166" s="11">
        <v>164</v>
      </c>
      <c r="B166" s="11">
        <f t="shared" si="6"/>
        <v>35045</v>
      </c>
      <c r="C166" s="11">
        <f t="shared" si="7"/>
        <v>19573.125</v>
      </c>
      <c r="D166" s="11">
        <f t="shared" si="8"/>
        <v>-15471.875</v>
      </c>
    </row>
    <row r="167" spans="1:4" x14ac:dyDescent="0.25">
      <c r="A167" s="11">
        <v>165</v>
      </c>
      <c r="B167" s="11">
        <f t="shared" si="6"/>
        <v>35456.199999999997</v>
      </c>
      <c r="C167" s="11">
        <f t="shared" si="7"/>
        <v>18867.559999999998</v>
      </c>
      <c r="D167" s="11">
        <f t="shared" si="8"/>
        <v>-16588.64</v>
      </c>
    </row>
    <row r="168" spans="1:4" x14ac:dyDescent="0.25">
      <c r="A168" s="11">
        <v>166</v>
      </c>
      <c r="B168" s="11">
        <f t="shared" si="6"/>
        <v>35869.799999999996</v>
      </c>
      <c r="C168" s="11">
        <f t="shared" si="7"/>
        <v>18147.055000000008</v>
      </c>
      <c r="D168" s="11">
        <f t="shared" si="8"/>
        <v>-17722.744999999988</v>
      </c>
    </row>
    <row r="169" spans="1:4" x14ac:dyDescent="0.25">
      <c r="A169" s="11">
        <v>167</v>
      </c>
      <c r="B169" s="11">
        <f t="shared" si="6"/>
        <v>36285.799999999996</v>
      </c>
      <c r="C169" s="11">
        <f t="shared" si="7"/>
        <v>17411.520000000004</v>
      </c>
      <c r="D169" s="11">
        <f t="shared" si="8"/>
        <v>-18874.279999999992</v>
      </c>
    </row>
    <row r="170" spans="1:4" x14ac:dyDescent="0.25">
      <c r="A170" s="11">
        <v>168</v>
      </c>
      <c r="B170" s="11">
        <f t="shared" si="6"/>
        <v>36704.199999999997</v>
      </c>
      <c r="C170" s="11">
        <f t="shared" si="7"/>
        <v>16660.865000000005</v>
      </c>
      <c r="D170" s="11">
        <f t="shared" si="8"/>
        <v>-20043.334999999992</v>
      </c>
    </row>
    <row r="171" spans="1:4" x14ac:dyDescent="0.25">
      <c r="A171" s="11">
        <v>169</v>
      </c>
      <c r="B171" s="11">
        <f t="shared" si="6"/>
        <v>37125</v>
      </c>
      <c r="C171" s="11">
        <f t="shared" si="7"/>
        <v>15895</v>
      </c>
      <c r="D171" s="11">
        <f t="shared" si="8"/>
        <v>-21230</v>
      </c>
    </row>
    <row r="172" spans="1:4" x14ac:dyDescent="0.25">
      <c r="A172" s="11">
        <v>170</v>
      </c>
      <c r="B172" s="11">
        <f t="shared" si="6"/>
        <v>37548.199999999997</v>
      </c>
      <c r="C172" s="11">
        <f t="shared" si="7"/>
        <v>15113.835000000006</v>
      </c>
      <c r="D172" s="11">
        <f t="shared" si="8"/>
        <v>-22434.364999999991</v>
      </c>
    </row>
    <row r="173" spans="1:4" x14ac:dyDescent="0.25">
      <c r="A173" s="11">
        <v>171</v>
      </c>
      <c r="B173" s="11">
        <f t="shared" si="6"/>
        <v>37973.799999999996</v>
      </c>
      <c r="C173" s="11">
        <f t="shared" si="7"/>
        <v>14317.279999999999</v>
      </c>
      <c r="D173" s="11">
        <f t="shared" si="8"/>
        <v>-23656.519999999997</v>
      </c>
    </row>
    <row r="174" spans="1:4" x14ac:dyDescent="0.25">
      <c r="A174" s="11">
        <v>172</v>
      </c>
      <c r="B174" s="11">
        <f t="shared" si="6"/>
        <v>38401.799999999996</v>
      </c>
      <c r="C174" s="11">
        <f t="shared" si="7"/>
        <v>13505.24500000001</v>
      </c>
      <c r="D174" s="11">
        <f t="shared" si="8"/>
        <v>-24896.554999999986</v>
      </c>
    </row>
    <row r="175" spans="1:4" x14ac:dyDescent="0.25">
      <c r="A175" s="11">
        <v>173</v>
      </c>
      <c r="B175" s="11">
        <f t="shared" si="6"/>
        <v>38832.199999999997</v>
      </c>
      <c r="C175" s="11">
        <f t="shared" si="7"/>
        <v>12677.64</v>
      </c>
      <c r="D175" s="11">
        <f t="shared" si="8"/>
        <v>-26154.559999999998</v>
      </c>
    </row>
    <row r="176" spans="1:4" x14ac:dyDescent="0.25">
      <c r="A176" s="11">
        <v>174</v>
      </c>
      <c r="B176" s="11">
        <f t="shared" si="6"/>
        <v>39265</v>
      </c>
      <c r="C176" s="11">
        <f t="shared" si="7"/>
        <v>11834.375</v>
      </c>
      <c r="D176" s="11">
        <f t="shared" si="8"/>
        <v>-27430.625</v>
      </c>
    </row>
    <row r="177" spans="1:4" x14ac:dyDescent="0.25">
      <c r="A177" s="11">
        <v>175</v>
      </c>
      <c r="B177" s="11">
        <f t="shared" si="6"/>
        <v>39700.199999999997</v>
      </c>
      <c r="C177" s="11">
        <f t="shared" si="7"/>
        <v>10975.36</v>
      </c>
      <c r="D177" s="11">
        <f t="shared" si="8"/>
        <v>-28724.839999999997</v>
      </c>
    </row>
    <row r="178" spans="1:4" x14ac:dyDescent="0.25">
      <c r="A178" s="11">
        <v>176</v>
      </c>
      <c r="B178" s="11">
        <f t="shared" si="6"/>
        <v>40137.799999999996</v>
      </c>
      <c r="C178" s="11">
        <f t="shared" si="7"/>
        <v>10100.505000000005</v>
      </c>
      <c r="D178" s="11">
        <f t="shared" si="8"/>
        <v>-30037.294999999991</v>
      </c>
    </row>
    <row r="179" spans="1:4" x14ac:dyDescent="0.25">
      <c r="A179" s="11">
        <v>177</v>
      </c>
      <c r="B179" s="11">
        <f t="shared" si="6"/>
        <v>40577.799999999996</v>
      </c>
      <c r="C179" s="11">
        <f t="shared" si="7"/>
        <v>9209.7200000000012</v>
      </c>
      <c r="D179" s="11">
        <f t="shared" si="8"/>
        <v>-31368.079999999994</v>
      </c>
    </row>
    <row r="180" spans="1:4" x14ac:dyDescent="0.25">
      <c r="A180" s="11">
        <v>178</v>
      </c>
      <c r="B180" s="11">
        <f t="shared" si="6"/>
        <v>41020.199999999997</v>
      </c>
      <c r="C180" s="11">
        <f t="shared" si="7"/>
        <v>8302.9150000000081</v>
      </c>
      <c r="D180" s="11">
        <f t="shared" si="8"/>
        <v>-32717.284999999989</v>
      </c>
    </row>
    <row r="181" spans="1:4" x14ac:dyDescent="0.25">
      <c r="A181" s="11">
        <v>179</v>
      </c>
      <c r="B181" s="11">
        <f t="shared" si="6"/>
        <v>41465</v>
      </c>
      <c r="C181" s="11">
        <f t="shared" si="7"/>
        <v>7380</v>
      </c>
      <c r="D181" s="11">
        <f t="shared" si="8"/>
        <v>-34085</v>
      </c>
    </row>
    <row r="182" spans="1:4" x14ac:dyDescent="0.25">
      <c r="A182" s="11">
        <v>180</v>
      </c>
      <c r="B182" s="11">
        <f t="shared" si="6"/>
        <v>41912.199999999997</v>
      </c>
      <c r="C182" s="11">
        <f t="shared" si="7"/>
        <v>6440.8850000000093</v>
      </c>
      <c r="D182" s="11">
        <f t="shared" si="8"/>
        <v>-35471.314999999988</v>
      </c>
    </row>
    <row r="183" spans="1:4" x14ac:dyDescent="0.25">
      <c r="A183" s="11">
        <v>181</v>
      </c>
      <c r="B183" s="11">
        <f t="shared" si="6"/>
        <v>42361.799999999996</v>
      </c>
      <c r="C183" s="11">
        <f t="shared" si="7"/>
        <v>5485.4800000000105</v>
      </c>
      <c r="D183" s="11">
        <f t="shared" si="8"/>
        <v>-36876.319999999985</v>
      </c>
    </row>
    <row r="184" spans="1:4" x14ac:dyDescent="0.25">
      <c r="A184" s="11">
        <v>182</v>
      </c>
      <c r="B184" s="11">
        <f t="shared" si="6"/>
        <v>42813.799999999996</v>
      </c>
      <c r="C184" s="11">
        <f t="shared" si="7"/>
        <v>4513.695000000007</v>
      </c>
      <c r="D184" s="11">
        <f t="shared" si="8"/>
        <v>-38300.104999999989</v>
      </c>
    </row>
    <row r="185" spans="1:4" x14ac:dyDescent="0.25">
      <c r="A185" s="11">
        <v>183</v>
      </c>
      <c r="B185" s="11">
        <f t="shared" si="6"/>
        <v>43268.2</v>
      </c>
      <c r="C185" s="11">
        <f t="shared" si="7"/>
        <v>3525.4400000000023</v>
      </c>
      <c r="D185" s="11">
        <f t="shared" si="8"/>
        <v>-39742.759999999995</v>
      </c>
    </row>
    <row r="186" spans="1:4" x14ac:dyDescent="0.25">
      <c r="A186" s="11">
        <v>184</v>
      </c>
      <c r="B186" s="11">
        <f t="shared" si="6"/>
        <v>43725</v>
      </c>
      <c r="C186" s="11">
        <f t="shared" si="7"/>
        <v>2520.625</v>
      </c>
      <c r="D186" s="11">
        <f t="shared" si="8"/>
        <v>-41204.375</v>
      </c>
    </row>
    <row r="187" spans="1:4" x14ac:dyDescent="0.25">
      <c r="A187" s="11">
        <v>185</v>
      </c>
      <c r="B187" s="11">
        <f t="shared" si="6"/>
        <v>44184.2</v>
      </c>
      <c r="C187" s="11">
        <f t="shared" si="7"/>
        <v>1499.1600000000035</v>
      </c>
      <c r="D187" s="11">
        <f t="shared" si="8"/>
        <v>-42685.039999999994</v>
      </c>
    </row>
    <row r="188" spans="1:4" x14ac:dyDescent="0.25">
      <c r="A188" s="11">
        <v>186</v>
      </c>
      <c r="B188" s="11">
        <f t="shared" si="6"/>
        <v>44645.799999999996</v>
      </c>
      <c r="C188" s="11">
        <f t="shared" si="7"/>
        <v>460.95500000000175</v>
      </c>
      <c r="D188" s="11">
        <f t="shared" si="8"/>
        <v>-44184.844999999994</v>
      </c>
    </row>
    <row r="189" spans="1:4" x14ac:dyDescent="0.25">
      <c r="A189" s="11">
        <v>187</v>
      </c>
      <c r="B189" s="11">
        <f t="shared" si="6"/>
        <v>45109.799999999996</v>
      </c>
      <c r="C189" s="11">
        <f t="shared" si="7"/>
        <v>-594.08000000000175</v>
      </c>
      <c r="D189" s="11">
        <f t="shared" si="8"/>
        <v>-45703.88</v>
      </c>
    </row>
    <row r="190" spans="1:4" x14ac:dyDescent="0.25">
      <c r="A190" s="11">
        <v>188</v>
      </c>
      <c r="B190" s="11">
        <f t="shared" si="6"/>
        <v>45576.2</v>
      </c>
      <c r="C190" s="11">
        <f t="shared" si="7"/>
        <v>-1666.0350000000035</v>
      </c>
      <c r="D190" s="11">
        <f t="shared" si="8"/>
        <v>-47242.235000000001</v>
      </c>
    </row>
    <row r="191" spans="1:4" x14ac:dyDescent="0.25">
      <c r="A191" s="11">
        <v>189</v>
      </c>
      <c r="B191" s="11">
        <f t="shared" si="6"/>
        <v>46045</v>
      </c>
      <c r="C191" s="11">
        <f t="shared" si="7"/>
        <v>-2755</v>
      </c>
      <c r="D191" s="11">
        <f t="shared" si="8"/>
        <v>-48800</v>
      </c>
    </row>
    <row r="192" spans="1:4" x14ac:dyDescent="0.25">
      <c r="A192" s="11">
        <v>190</v>
      </c>
      <c r="B192" s="11">
        <f t="shared" si="6"/>
        <v>46516.2</v>
      </c>
      <c r="C192" s="11">
        <f t="shared" si="7"/>
        <v>-3861.0650000000023</v>
      </c>
      <c r="D192" s="11">
        <f t="shared" si="8"/>
        <v>-50377.264999999999</v>
      </c>
    </row>
    <row r="193" spans="1:4" x14ac:dyDescent="0.25">
      <c r="A193" s="11">
        <v>191</v>
      </c>
      <c r="B193" s="11">
        <f t="shared" si="6"/>
        <v>46989.799999999996</v>
      </c>
      <c r="C193" s="11">
        <f t="shared" si="7"/>
        <v>-4984.3199999999924</v>
      </c>
      <c r="D193" s="11">
        <f t="shared" si="8"/>
        <v>-51974.119999999988</v>
      </c>
    </row>
    <row r="194" spans="1:4" x14ac:dyDescent="0.25">
      <c r="A194" s="11">
        <v>192</v>
      </c>
      <c r="B194" s="11">
        <f t="shared" si="6"/>
        <v>47465.799999999996</v>
      </c>
      <c r="C194" s="11">
        <f t="shared" si="7"/>
        <v>-6124.8549999999959</v>
      </c>
      <c r="D194" s="11">
        <f t="shared" si="8"/>
        <v>-53590.654999999992</v>
      </c>
    </row>
    <row r="195" spans="1:4" x14ac:dyDescent="0.25">
      <c r="A195" s="11">
        <v>193</v>
      </c>
      <c r="B195" s="11">
        <f t="shared" ref="B195:B206" si="9">1.2*A196^2 + 14*A196 + 65</f>
        <v>47944.2</v>
      </c>
      <c r="C195" s="11">
        <f t="shared" ref="C195:C206" si="10">527*A196-0.015*A196^3</f>
        <v>-7282.7599999999948</v>
      </c>
      <c r="D195" s="11">
        <f t="shared" ref="D195:D206" si="11">C195-B195</f>
        <v>-55226.959999999992</v>
      </c>
    </row>
    <row r="196" spans="1:4" x14ac:dyDescent="0.25">
      <c r="A196" s="11">
        <v>194</v>
      </c>
      <c r="B196" s="11">
        <f t="shared" si="9"/>
        <v>48425</v>
      </c>
      <c r="C196" s="11">
        <f t="shared" si="10"/>
        <v>-8458.125</v>
      </c>
      <c r="D196" s="11">
        <f t="shared" si="11"/>
        <v>-56883.125</v>
      </c>
    </row>
    <row r="197" spans="1:4" x14ac:dyDescent="0.25">
      <c r="A197" s="11">
        <v>195</v>
      </c>
      <c r="B197" s="11">
        <f t="shared" si="9"/>
        <v>48908.2</v>
      </c>
      <c r="C197" s="11">
        <f t="shared" si="10"/>
        <v>-9651.0399999999936</v>
      </c>
      <c r="D197" s="11">
        <f t="shared" si="11"/>
        <v>-58559.239999999991</v>
      </c>
    </row>
    <row r="198" spans="1:4" x14ac:dyDescent="0.25">
      <c r="A198" s="11">
        <v>196</v>
      </c>
      <c r="B198" s="11">
        <f t="shared" si="9"/>
        <v>49393.799999999996</v>
      </c>
      <c r="C198" s="11">
        <f t="shared" si="10"/>
        <v>-10861.595000000001</v>
      </c>
      <c r="D198" s="11">
        <f t="shared" si="11"/>
        <v>-60255.394999999997</v>
      </c>
    </row>
    <row r="199" spans="1:4" x14ac:dyDescent="0.25">
      <c r="A199" s="11">
        <v>197</v>
      </c>
      <c r="B199" s="11">
        <f t="shared" si="9"/>
        <v>49881.799999999996</v>
      </c>
      <c r="C199" s="11">
        <f t="shared" si="10"/>
        <v>-12089.87999999999</v>
      </c>
      <c r="D199" s="11">
        <f t="shared" si="11"/>
        <v>-61971.679999999986</v>
      </c>
    </row>
    <row r="200" spans="1:4" x14ac:dyDescent="0.25">
      <c r="A200" s="11">
        <v>198</v>
      </c>
      <c r="B200" s="11">
        <f t="shared" si="9"/>
        <v>50372.2</v>
      </c>
      <c r="C200" s="11">
        <f t="shared" si="10"/>
        <v>-13335.985000000001</v>
      </c>
      <c r="D200" s="11">
        <f t="shared" si="11"/>
        <v>-63708.184999999998</v>
      </c>
    </row>
    <row r="201" spans="1:4" x14ac:dyDescent="0.25">
      <c r="A201" s="11">
        <v>199</v>
      </c>
      <c r="B201" s="11">
        <f t="shared" si="9"/>
        <v>50865</v>
      </c>
      <c r="C201" s="11">
        <f t="shared" si="10"/>
        <v>-14600</v>
      </c>
      <c r="D201" s="11">
        <f t="shared" si="11"/>
        <v>-65465</v>
      </c>
    </row>
    <row r="202" spans="1:4" x14ac:dyDescent="0.25">
      <c r="A202" s="11">
        <v>200</v>
      </c>
      <c r="B202" s="11">
        <f t="shared" si="9"/>
        <v>51360.2</v>
      </c>
      <c r="C202" s="11">
        <f t="shared" si="10"/>
        <v>-15882.014999999999</v>
      </c>
      <c r="D202" s="11">
        <f t="shared" si="11"/>
        <v>-67242.214999999997</v>
      </c>
    </row>
    <row r="203" spans="1:4" x14ac:dyDescent="0.25">
      <c r="A203" s="12">
        <v>201</v>
      </c>
      <c r="B203" s="11">
        <f t="shared" si="9"/>
        <v>51857.799999999996</v>
      </c>
      <c r="C203" s="11">
        <f t="shared" si="10"/>
        <v>-17182.119999999995</v>
      </c>
      <c r="D203" s="11">
        <f t="shared" si="11"/>
        <v>-69039.919999999984</v>
      </c>
    </row>
    <row r="204" spans="1:4" x14ac:dyDescent="0.25">
      <c r="A204" s="12">
        <v>202</v>
      </c>
      <c r="B204" s="11">
        <f t="shared" si="9"/>
        <v>52357.799999999996</v>
      </c>
      <c r="C204" s="11">
        <f t="shared" si="10"/>
        <v>-18500.404999999999</v>
      </c>
      <c r="D204" s="11">
        <f t="shared" si="11"/>
        <v>-70858.204999999987</v>
      </c>
    </row>
    <row r="205" spans="1:4" x14ac:dyDescent="0.25">
      <c r="A205" s="12">
        <v>203</v>
      </c>
      <c r="B205" s="11">
        <f t="shared" si="9"/>
        <v>52860.2</v>
      </c>
      <c r="C205" s="11">
        <f t="shared" si="10"/>
        <v>-19836.959999999992</v>
      </c>
      <c r="D205" s="11">
        <f t="shared" si="11"/>
        <v>-72697.159999999989</v>
      </c>
    </row>
    <row r="206" spans="1:4" x14ac:dyDescent="0.25">
      <c r="A206" s="12">
        <v>204</v>
      </c>
      <c r="B206" s="11">
        <f t="shared" si="9"/>
        <v>65</v>
      </c>
      <c r="C206" s="11">
        <f t="shared" si="10"/>
        <v>0</v>
      </c>
      <c r="D206" s="11">
        <f t="shared" si="11"/>
        <v>-65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Problem 1</vt:lpstr>
      <vt:lpstr>Problem 11</vt:lpstr>
      <vt:lpstr>Problem 12</vt:lpstr>
      <vt:lpstr>Problem 13</vt:lpstr>
      <vt:lpstr>Problem 14</vt:lpstr>
      <vt:lpstr>ch.4 problem 1</vt:lpstr>
      <vt:lpstr>problem 6</vt:lpstr>
      <vt:lpstr>Problem 10</vt:lpstr>
      <vt:lpstr>ch.4 problem 11</vt:lpstr>
      <vt:lpstr>ch.4 problem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Terrero</dc:creator>
  <cp:lastModifiedBy>Jonathan Terrero</cp:lastModifiedBy>
  <dcterms:created xsi:type="dcterms:W3CDTF">2024-09-03T01:22:06Z</dcterms:created>
  <dcterms:modified xsi:type="dcterms:W3CDTF">2024-09-03T03:02:28Z</dcterms:modified>
</cp:coreProperties>
</file>